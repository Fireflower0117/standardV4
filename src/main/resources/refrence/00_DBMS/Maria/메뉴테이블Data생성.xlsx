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NoteStandard_V4\03.설계\01.DB설계\Maria\"/>
    </mc:Choice>
  </mc:AlternateContent>
  <xr:revisionPtr revIDLastSave="0" documentId="13_ncr:1_{692AD429-BF69-4FC1-B07F-DFBC7170272F}" xr6:coauthVersionLast="47" xr6:coauthVersionMax="47" xr10:uidLastSave="{00000000-0000-0000-0000-000000000000}"/>
  <bookViews>
    <workbookView xWindow="33045" yWindow="1920" windowWidth="28800" windowHeight="15285" xr2:uid="{2D7A8F68-8490-4655-B3F3-DCE48A36367F}"/>
  </bookViews>
  <sheets>
    <sheet name="메뉴관리" sheetId="12" r:id="rId1"/>
    <sheet name="메뉴_권한매핑" sheetId="6" r:id="rId2"/>
    <sheet name="권한" sheetId="5" r:id="rId3"/>
    <sheet name="권한_사용자매핑" sheetId="7" r:id="rId4"/>
    <sheet name="사용자" sheetId="8" r:id="rId5"/>
    <sheet name="공통코드" sheetId="9" r:id="rId6"/>
    <sheet name="시스템 정책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6" l="1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4" i="12"/>
  <c r="O4" i="6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33" i="9"/>
  <c r="S30" i="9"/>
  <c r="S31" i="9"/>
  <c r="S32" i="9"/>
  <c r="S27" i="9"/>
  <c r="S28" i="9"/>
  <c r="S29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4" i="9"/>
  <c r="K5" i="8"/>
  <c r="K6" i="8"/>
  <c r="F5" i="7"/>
  <c r="F6" i="7"/>
  <c r="F4" i="7"/>
  <c r="K4" i="8"/>
  <c r="R5" i="5"/>
  <c r="R6" i="5"/>
  <c r="R7" i="5"/>
  <c r="R8" i="5"/>
  <c r="R9" i="5"/>
  <c r="R10" i="5"/>
  <c r="R11" i="5"/>
  <c r="R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S1" authorId="0" shapeId="0" xr:uid="{2CA8AFF5-006F-47B1-9D3A-6D2015E6E49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1) </t>
        </r>
        <r>
          <rPr>
            <sz val="9"/>
            <color indexed="81"/>
            <rFont val="돋움"/>
            <family val="3"/>
            <charset val="129"/>
          </rPr>
          <t>추가하고싶은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>.
2) AC4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우측아래에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마우스를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십자가문양일때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더블클릭
</t>
        </r>
        <r>
          <rPr>
            <sz val="9"/>
            <color indexed="81"/>
            <rFont val="Tahoma"/>
            <family val="2"/>
          </rPr>
          <t>3) AC4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( Ctrl + c)
4) AC4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복사후</t>
        </r>
        <r>
          <rPr>
            <sz val="9"/>
            <color indexed="81"/>
            <rFont val="Tahoma"/>
            <family val="2"/>
          </rPr>
          <t xml:space="preserve"> AD4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</t>
        </r>
        <r>
          <rPr>
            <sz val="9"/>
            <color indexed="81"/>
            <rFont val="Tahoma"/>
            <family val="2"/>
          </rPr>
          <t xml:space="preserve">,  </t>
        </r>
        <r>
          <rPr>
            <sz val="9"/>
            <color indexed="81"/>
            <rFont val="돋움"/>
            <family val="3"/>
            <charset val="129"/>
          </rPr>
          <t>붙여넣기옵션에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폴더문양에</t>
        </r>
        <r>
          <rPr>
            <sz val="9"/>
            <color indexed="81"/>
            <rFont val="Tahoma"/>
            <family val="2"/>
          </rPr>
          <t xml:space="preserve"> 123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붙여넣기한다</t>
        </r>
        <r>
          <rPr>
            <sz val="9"/>
            <color indexed="81"/>
            <rFont val="Tahoma"/>
            <family val="2"/>
          </rPr>
          <t>.
5) AD4</t>
        </r>
        <r>
          <rPr>
            <sz val="9"/>
            <color indexed="81"/>
            <rFont val="돋움"/>
            <family val="3"/>
            <charset val="129"/>
          </rPr>
          <t>열선택후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AD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선택한다</t>
        </r>
        <r>
          <rPr>
            <sz val="9"/>
            <color indexed="81"/>
            <rFont val="Tahoma"/>
            <family val="2"/>
          </rPr>
          <t>.
6) Ctrl + C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Dbeaver, Toad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O1" authorId="0" shapeId="0" xr:uid="{5A435161-C3AE-4056-B41A-A8E8AF32EF2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1) </t>
        </r>
        <r>
          <rPr>
            <sz val="9"/>
            <color indexed="81"/>
            <rFont val="돋움"/>
            <family val="3"/>
            <charset val="129"/>
          </rPr>
          <t>추가하고싶은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 xml:space="preserve">.
2) Z4 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우측아래에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마우스를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십자가문양일때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더블클릭
</t>
        </r>
        <r>
          <rPr>
            <sz val="9"/>
            <color indexed="81"/>
            <rFont val="Tahoma"/>
            <family val="2"/>
          </rPr>
          <t>3) Z4</t>
        </r>
        <r>
          <rPr>
            <sz val="9"/>
            <color indexed="81"/>
            <rFont val="돋움"/>
            <family val="3"/>
            <charset val="129"/>
          </rPr>
          <t>열에서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( Ctrl + c)
4) AA4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복사후</t>
        </r>
        <r>
          <rPr>
            <sz val="9"/>
            <color indexed="81"/>
            <rFont val="Tahoma"/>
            <family val="2"/>
          </rPr>
          <t xml:space="preserve"> AB4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붙여넣기옵션에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폴더문양에</t>
        </r>
        <r>
          <rPr>
            <sz val="9"/>
            <color indexed="81"/>
            <rFont val="Tahoma"/>
            <family val="2"/>
          </rPr>
          <t xml:space="preserve"> 123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붙여넣기한다</t>
        </r>
        <r>
          <rPr>
            <sz val="9"/>
            <color indexed="81"/>
            <rFont val="Tahoma"/>
            <family val="2"/>
          </rPr>
          <t>.
5) AB4</t>
        </r>
        <r>
          <rPr>
            <sz val="9"/>
            <color indexed="81"/>
            <rFont val="돋움"/>
            <family val="3"/>
            <charset val="129"/>
          </rPr>
          <t>열선택후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AB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선택한다</t>
        </r>
        <r>
          <rPr>
            <sz val="9"/>
            <color indexed="81"/>
            <rFont val="Tahoma"/>
            <family val="2"/>
          </rPr>
          <t>.
6) Ctrl + C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Dbeaver, Toad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R1" authorId="0" shapeId="0" xr:uid="{E412D473-742C-4CBD-B341-E9BF7368C09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1) </t>
        </r>
        <r>
          <rPr>
            <sz val="9"/>
            <color indexed="81"/>
            <rFont val="돋움"/>
            <family val="3"/>
            <charset val="129"/>
          </rPr>
          <t>추가하고싶은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 xml:space="preserve">.
2) Z4 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우측아래에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마우스를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십자가문양일때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더블클릭
</t>
        </r>
        <r>
          <rPr>
            <sz val="9"/>
            <color indexed="81"/>
            <rFont val="Tahoma"/>
            <family val="2"/>
          </rPr>
          <t>3) Z4</t>
        </r>
        <r>
          <rPr>
            <sz val="9"/>
            <color indexed="81"/>
            <rFont val="돋움"/>
            <family val="3"/>
            <charset val="129"/>
          </rPr>
          <t>열에서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( Ctrl + c)
4) AA4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복사후</t>
        </r>
        <r>
          <rPr>
            <sz val="9"/>
            <color indexed="81"/>
            <rFont val="Tahoma"/>
            <family val="2"/>
          </rPr>
          <t xml:space="preserve"> AB4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붙여넣기옵션에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폴더문양에</t>
        </r>
        <r>
          <rPr>
            <sz val="9"/>
            <color indexed="81"/>
            <rFont val="Tahoma"/>
            <family val="2"/>
          </rPr>
          <t xml:space="preserve"> 123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붙여넣기한다</t>
        </r>
        <r>
          <rPr>
            <sz val="9"/>
            <color indexed="81"/>
            <rFont val="Tahoma"/>
            <family val="2"/>
          </rPr>
          <t>.
5) AB4</t>
        </r>
        <r>
          <rPr>
            <sz val="9"/>
            <color indexed="81"/>
            <rFont val="돋움"/>
            <family val="3"/>
            <charset val="129"/>
          </rPr>
          <t>열선택후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AB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선택한다</t>
        </r>
        <r>
          <rPr>
            <sz val="9"/>
            <color indexed="81"/>
            <rFont val="Tahoma"/>
            <family val="2"/>
          </rPr>
          <t>.
6) Ctrl + C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Dbeaver, Toad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F1" authorId="0" shapeId="0" xr:uid="{0A709F0C-C874-4F80-BC86-45F2063E8F5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1) </t>
        </r>
        <r>
          <rPr>
            <sz val="9"/>
            <color indexed="81"/>
            <rFont val="돋움"/>
            <family val="3"/>
            <charset val="129"/>
          </rPr>
          <t>추가하고싶은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 xml:space="preserve">.
2) Z4 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우측아래에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마우스를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십자가문양일때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더블클릭
</t>
        </r>
        <r>
          <rPr>
            <sz val="9"/>
            <color indexed="81"/>
            <rFont val="Tahoma"/>
            <family val="2"/>
          </rPr>
          <t>3) Z4</t>
        </r>
        <r>
          <rPr>
            <sz val="9"/>
            <color indexed="81"/>
            <rFont val="돋움"/>
            <family val="3"/>
            <charset val="129"/>
          </rPr>
          <t>열에서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( Ctrl + c)
4) AA4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복사후</t>
        </r>
        <r>
          <rPr>
            <sz val="9"/>
            <color indexed="81"/>
            <rFont val="Tahoma"/>
            <family val="2"/>
          </rPr>
          <t xml:space="preserve"> AB4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붙여넣기옵션에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폴더문양에</t>
        </r>
        <r>
          <rPr>
            <sz val="9"/>
            <color indexed="81"/>
            <rFont val="Tahoma"/>
            <family val="2"/>
          </rPr>
          <t xml:space="preserve"> 123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붙여넣기한다</t>
        </r>
        <r>
          <rPr>
            <sz val="9"/>
            <color indexed="81"/>
            <rFont val="Tahoma"/>
            <family val="2"/>
          </rPr>
          <t>.
5) AB4</t>
        </r>
        <r>
          <rPr>
            <sz val="9"/>
            <color indexed="81"/>
            <rFont val="돋움"/>
            <family val="3"/>
            <charset val="129"/>
          </rPr>
          <t>열선택후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AB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선택한다</t>
        </r>
        <r>
          <rPr>
            <sz val="9"/>
            <color indexed="81"/>
            <rFont val="Tahoma"/>
            <family val="2"/>
          </rPr>
          <t>.
6) Ctrl + C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Dbeaver, Toad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tc={A86A8E0C-257A-4758-BDD4-E57B372CD1C8}</author>
  </authors>
  <commentList>
    <comment ref="K1" authorId="0" shapeId="0" xr:uid="{563DB5DE-94B4-45C6-850E-D349BE4FA9B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1) </t>
        </r>
        <r>
          <rPr>
            <sz val="9"/>
            <color indexed="81"/>
            <rFont val="돋움"/>
            <family val="3"/>
            <charset val="129"/>
          </rPr>
          <t>추가하고싶은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 xml:space="preserve">.
2) Z4 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우측아래에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마우스를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십자가문양일때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더블클릭
</t>
        </r>
        <r>
          <rPr>
            <sz val="9"/>
            <color indexed="81"/>
            <rFont val="Tahoma"/>
            <family val="2"/>
          </rPr>
          <t>3) Z4</t>
        </r>
        <r>
          <rPr>
            <sz val="9"/>
            <color indexed="81"/>
            <rFont val="돋움"/>
            <family val="3"/>
            <charset val="129"/>
          </rPr>
          <t>열에서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( Ctrl + c)
4) AA4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복사후</t>
        </r>
        <r>
          <rPr>
            <sz val="9"/>
            <color indexed="81"/>
            <rFont val="Tahoma"/>
            <family val="2"/>
          </rPr>
          <t xml:space="preserve"> AB4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붙여넣기옵션에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폴더문양에</t>
        </r>
        <r>
          <rPr>
            <sz val="9"/>
            <color indexed="81"/>
            <rFont val="Tahoma"/>
            <family val="2"/>
          </rPr>
          <t xml:space="preserve"> 123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붙여넣기한다</t>
        </r>
        <r>
          <rPr>
            <sz val="9"/>
            <color indexed="81"/>
            <rFont val="Tahoma"/>
            <family val="2"/>
          </rPr>
          <t>.
5) AB4</t>
        </r>
        <r>
          <rPr>
            <sz val="9"/>
            <color indexed="81"/>
            <rFont val="돋움"/>
            <family val="3"/>
            <charset val="129"/>
          </rPr>
          <t>열선택후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AB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선택한다</t>
        </r>
        <r>
          <rPr>
            <sz val="9"/>
            <color indexed="81"/>
            <rFont val="Tahoma"/>
            <family val="2"/>
          </rPr>
          <t>.
6) Ctrl + C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Dbeaver, Toad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C3" authorId="1" shapeId="0" xr:uid="{A86A8E0C-257A-4758-BDD4-E57B372CD1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open1010!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tc={75A0B596-4D6C-4110-93B3-CB3DB73D320F}</author>
  </authors>
  <commentList>
    <comment ref="S1" authorId="0" shapeId="0" xr:uid="{7D454366-E097-40AD-9895-80DCDFE360F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1) </t>
        </r>
        <r>
          <rPr>
            <sz val="9"/>
            <color indexed="81"/>
            <rFont val="돋움"/>
            <family val="3"/>
            <charset val="129"/>
          </rPr>
          <t>추가하고싶은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입력한다</t>
        </r>
        <r>
          <rPr>
            <sz val="9"/>
            <color indexed="81"/>
            <rFont val="Tahoma"/>
            <family val="2"/>
          </rPr>
          <t xml:space="preserve">.
2) Z4 </t>
        </r>
        <r>
          <rPr>
            <sz val="9"/>
            <color indexed="81"/>
            <rFont val="돋움"/>
            <family val="3"/>
            <charset val="129"/>
          </rPr>
          <t>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우측아래에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마우스를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십자가문양일때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더블클릭
</t>
        </r>
        <r>
          <rPr>
            <sz val="9"/>
            <color indexed="81"/>
            <rFont val="Tahoma"/>
            <family val="2"/>
          </rPr>
          <t>3) Z4</t>
        </r>
        <r>
          <rPr>
            <sz val="9"/>
            <color indexed="81"/>
            <rFont val="돋움"/>
            <family val="3"/>
            <charset val="129"/>
          </rPr>
          <t>열에서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z</t>
        </r>
        <r>
          <rPr>
            <sz val="9"/>
            <color indexed="81"/>
            <rFont val="돋움"/>
            <family val="3"/>
            <charset val="129"/>
          </rPr>
          <t>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( Ctrl + c)
4) AA4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우클릭하여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복사후</t>
        </r>
        <r>
          <rPr>
            <sz val="9"/>
            <color indexed="81"/>
            <rFont val="Tahoma"/>
            <family val="2"/>
          </rPr>
          <t xml:space="preserve"> AB4</t>
        </r>
        <r>
          <rPr>
            <sz val="9"/>
            <color indexed="81"/>
            <rFont val="돋움"/>
            <family val="3"/>
            <charset val="129"/>
          </rPr>
          <t>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붙여넣기옵션에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폴더문양에</t>
        </r>
        <r>
          <rPr>
            <sz val="9"/>
            <color indexed="81"/>
            <rFont val="Tahoma"/>
            <family val="2"/>
          </rPr>
          <t xml:space="preserve"> 123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붙여넣기한다</t>
        </r>
        <r>
          <rPr>
            <sz val="9"/>
            <color indexed="81"/>
            <rFont val="Tahoma"/>
            <family val="2"/>
          </rPr>
          <t>.
5) AB4</t>
        </r>
        <r>
          <rPr>
            <sz val="9"/>
            <color indexed="81"/>
            <rFont val="돋움"/>
            <family val="3"/>
            <charset val="129"/>
          </rPr>
          <t>열선택후</t>
        </r>
        <r>
          <rPr>
            <sz val="9"/>
            <color indexed="81"/>
            <rFont val="Tahoma"/>
            <family val="2"/>
          </rPr>
          <t xml:space="preserve"> Ctrl + Shift + </t>
        </r>
        <r>
          <rPr>
            <sz val="9"/>
            <color indexed="81"/>
            <rFont val="돋움"/>
            <family val="3"/>
            <charset val="129"/>
          </rPr>
          <t>아래방향을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AB</t>
        </r>
        <r>
          <rPr>
            <sz val="9"/>
            <color indexed="81"/>
            <rFont val="돋움"/>
            <family val="3"/>
            <charset val="129"/>
          </rPr>
          <t>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선택한다</t>
        </r>
        <r>
          <rPr>
            <sz val="9"/>
            <color indexed="81"/>
            <rFont val="Tahoma"/>
            <family val="2"/>
          </rPr>
          <t>.
6) Ctrl + C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눌러</t>
        </r>
        <r>
          <rPr>
            <sz val="9"/>
            <color indexed="81"/>
            <rFont val="Tahoma"/>
            <family val="2"/>
          </rPr>
          <t xml:space="preserve"> Dbeaver, Toad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붙여넣기후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C3" authorId="1" shapeId="0" xr:uid="{75A0B596-4D6C-4110-93B3-CB3DB73D320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open1010!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tc={E2CB2FE2-2B92-47AD-B54A-83A8410EFB1C}</author>
  </authors>
  <commentList>
    <comment ref="C3" authorId="0" shapeId="0" xr:uid="{E2CB2FE2-2B92-47AD-B54A-83A8410EFB1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open1010!</t>
      </text>
    </comment>
  </commentList>
</comments>
</file>

<file path=xl/sharedStrings.xml><?xml version="1.0" encoding="utf-8"?>
<sst xmlns="http://schemas.openxmlformats.org/spreadsheetml/2006/main" count="4006" uniqueCount="1131">
  <si>
    <t>컨텐츠관리</t>
  </si>
  <si>
    <t>퍼블가이드</t>
  </si>
  <si>
    <t>MA</t>
    <phoneticPr fontId="1" type="noConversion"/>
  </si>
  <si>
    <t>상위메뉴ID</t>
    <phoneticPr fontId="1" type="noConversion"/>
  </si>
  <si>
    <t>메뉴URL</t>
    <phoneticPr fontId="1" type="noConversion"/>
  </si>
  <si>
    <t>칼럼한글명</t>
    <phoneticPr fontId="1" type="noConversion"/>
  </si>
  <si>
    <t>칼럼영문명</t>
    <phoneticPr fontId="1" type="noConversion"/>
  </si>
  <si>
    <t>FM_구분</t>
    <phoneticPr fontId="1" type="noConversion"/>
  </si>
  <si>
    <t>UPR_MENU_ID</t>
    <phoneticPr fontId="1" type="noConversion"/>
  </si>
  <si>
    <t>SORT_ORDR</t>
    <phoneticPr fontId="1" type="noConversion"/>
  </si>
  <si>
    <t>정렬순서</t>
    <phoneticPr fontId="1" type="noConversion"/>
  </si>
  <si>
    <t>사용여부</t>
    <phoneticPr fontId="1" type="noConversion"/>
  </si>
  <si>
    <t>USE_YN</t>
    <phoneticPr fontId="1" type="noConversion"/>
  </si>
  <si>
    <t>메뉴 파라미터</t>
    <phoneticPr fontId="1" type="noConversion"/>
  </si>
  <si>
    <t>MENU_PARAM</t>
    <phoneticPr fontId="1" type="noConversion"/>
  </si>
  <si>
    <t>메뉴_한글명</t>
    <phoneticPr fontId="1" type="noConversion"/>
  </si>
  <si>
    <t>메뉴_영문명</t>
    <phoneticPr fontId="1" type="noConversion"/>
  </si>
  <si>
    <t>KOR_NM</t>
    <phoneticPr fontId="1" type="noConversion"/>
  </si>
  <si>
    <t>ENG_NM</t>
    <phoneticPr fontId="1" type="noConversion"/>
  </si>
  <si>
    <t>메뉴생성타겟</t>
    <phoneticPr fontId="1" type="noConversion"/>
  </si>
  <si>
    <t>MENU_TARGET</t>
    <phoneticPr fontId="1" type="noConversion"/>
  </si>
  <si>
    <t>삭제가능여부</t>
    <phoneticPr fontId="1" type="noConversion"/>
  </si>
  <si>
    <t>IS_DEL_ABLE</t>
    <phoneticPr fontId="1" type="noConversion"/>
  </si>
  <si>
    <t>임시칼럼1</t>
    <phoneticPr fontId="1" type="noConversion"/>
  </si>
  <si>
    <t>임시칼럼2</t>
    <phoneticPr fontId="1" type="noConversion"/>
  </si>
  <si>
    <t>임시칼럼3</t>
    <phoneticPr fontId="1" type="noConversion"/>
  </si>
  <si>
    <t>임시칼럼4</t>
    <phoneticPr fontId="1" type="noConversion"/>
  </si>
  <si>
    <t>임시칼럼5</t>
    <phoneticPr fontId="1" type="noConversion"/>
  </si>
  <si>
    <t>임시칼럼6</t>
    <phoneticPr fontId="1" type="noConversion"/>
  </si>
  <si>
    <t>임시칼럼7</t>
    <phoneticPr fontId="1" type="noConversion"/>
  </si>
  <si>
    <t>임시칼럼8</t>
    <phoneticPr fontId="1" type="noConversion"/>
  </si>
  <si>
    <t>임시칼럼9</t>
    <phoneticPr fontId="1" type="noConversion"/>
  </si>
  <si>
    <t>임시칼럼10</t>
    <phoneticPr fontId="1" type="noConversion"/>
  </si>
  <si>
    <t>TEMPCOL_1</t>
    <phoneticPr fontId="1" type="noConversion"/>
  </si>
  <si>
    <t>TEMPCOL_2</t>
    <phoneticPr fontId="1" type="noConversion"/>
  </si>
  <si>
    <t>TEMPCOL_3</t>
    <phoneticPr fontId="1" type="noConversion"/>
  </si>
  <si>
    <t>TEMPCOL_4</t>
  </si>
  <si>
    <t>TEMPCOL_5</t>
  </si>
  <si>
    <t>TEMPCOL_6</t>
  </si>
  <si>
    <t>TEMPCOL_7</t>
  </si>
  <si>
    <t>TEMPCOL_8</t>
  </si>
  <si>
    <t>TEMPCOL_9</t>
  </si>
  <si>
    <t>TEMPCOL_10</t>
  </si>
  <si>
    <t>데이터타입</t>
    <phoneticPr fontId="1" type="noConversion"/>
  </si>
  <si>
    <t>NUM</t>
    <phoneticPr fontId="1" type="noConversion"/>
  </si>
  <si>
    <t>VC2(20)</t>
    <phoneticPr fontId="1" type="noConversion"/>
  </si>
  <si>
    <t>VC2(8)</t>
    <phoneticPr fontId="1" type="noConversion"/>
  </si>
  <si>
    <t>VC2(100)</t>
  </si>
  <si>
    <t>VC2(100)</t>
    <phoneticPr fontId="1" type="noConversion"/>
  </si>
  <si>
    <t>VC2(200)</t>
    <phoneticPr fontId="1" type="noConversion"/>
  </si>
  <si>
    <t>C(1) DEFUALT 'Y'</t>
    <phoneticPr fontId="1" type="noConversion"/>
  </si>
  <si>
    <t>시스템관리</t>
    <phoneticPr fontId="1" type="noConversion"/>
  </si>
  <si>
    <t>게시판관리</t>
    <phoneticPr fontId="1" type="noConversion"/>
  </si>
  <si>
    <t>메타데이터관리</t>
    <phoneticPr fontId="1" type="noConversion"/>
  </si>
  <si>
    <t>권한관리</t>
    <phoneticPr fontId="1" type="noConversion"/>
  </si>
  <si>
    <t>사용자관리</t>
    <phoneticPr fontId="1" type="noConversion"/>
  </si>
  <si>
    <t>메뉴관리</t>
    <phoneticPr fontId="1" type="noConversion"/>
  </si>
  <si>
    <t>권한_메뉴 매핑</t>
    <phoneticPr fontId="1" type="noConversion"/>
  </si>
  <si>
    <t>권한 수정</t>
    <phoneticPr fontId="1" type="noConversion"/>
  </si>
  <si>
    <t>메뉴수정</t>
    <phoneticPr fontId="1" type="noConversion"/>
  </si>
  <si>
    <t>권한 조회</t>
    <phoneticPr fontId="1" type="noConversion"/>
  </si>
  <si>
    <t>메뉴조회</t>
    <phoneticPr fontId="1" type="noConversion"/>
  </si>
  <si>
    <t>사용자조회</t>
    <phoneticPr fontId="1" type="noConversion"/>
  </si>
  <si>
    <t>사용자수정</t>
    <phoneticPr fontId="1" type="noConversion"/>
  </si>
  <si>
    <t>공통코드관리</t>
    <phoneticPr fontId="1" type="noConversion"/>
  </si>
  <si>
    <t>깊이</t>
    <phoneticPr fontId="1" type="noConversion"/>
  </si>
  <si>
    <t>LEVEL</t>
    <phoneticPr fontId="1" type="noConversion"/>
  </si>
  <si>
    <t>ROOT</t>
    <phoneticPr fontId="1" type="noConversion"/>
  </si>
  <si>
    <t>1Depth메뉴</t>
    <phoneticPr fontId="1" type="noConversion"/>
  </si>
  <si>
    <t>OnePage</t>
    <phoneticPr fontId="1" type="noConversion"/>
  </si>
  <si>
    <t>목록</t>
    <phoneticPr fontId="1" type="noConversion"/>
  </si>
  <si>
    <t>상세</t>
    <phoneticPr fontId="1" type="noConversion"/>
  </si>
  <si>
    <t>상세(수정)</t>
    <phoneticPr fontId="1" type="noConversion"/>
  </si>
  <si>
    <t>게시판유형조회</t>
    <phoneticPr fontId="1" type="noConversion"/>
  </si>
  <si>
    <t>FAQ</t>
    <phoneticPr fontId="1" type="noConversion"/>
  </si>
  <si>
    <t>QNA</t>
    <phoneticPr fontId="1" type="noConversion"/>
  </si>
  <si>
    <t>알림마당</t>
    <phoneticPr fontId="1" type="noConversion"/>
  </si>
  <si>
    <t>공지사항</t>
    <phoneticPr fontId="1" type="noConversion"/>
  </si>
  <si>
    <t>비밀_게시판</t>
    <phoneticPr fontId="1" type="noConversion"/>
  </si>
  <si>
    <t>DB품질</t>
    <phoneticPr fontId="1" type="noConversion"/>
  </si>
  <si>
    <t>용어관리</t>
    <phoneticPr fontId="1" type="noConversion"/>
  </si>
  <si>
    <t>용어진단</t>
    <phoneticPr fontId="1" type="noConversion"/>
  </si>
  <si>
    <t>용어사전</t>
    <phoneticPr fontId="1" type="noConversion"/>
  </si>
  <si>
    <t>단어관리</t>
    <phoneticPr fontId="1" type="noConversion"/>
  </si>
  <si>
    <t>테이블진단</t>
    <phoneticPr fontId="1" type="noConversion"/>
  </si>
  <si>
    <t>갤러리</t>
    <phoneticPr fontId="1" type="noConversion"/>
  </si>
  <si>
    <t>OnePage(수정) 로그인 정책 포함, ITSM기능 부여등..</t>
    <phoneticPr fontId="1" type="noConversion"/>
  </si>
  <si>
    <t>사용자등록</t>
    <phoneticPr fontId="1" type="noConversion"/>
  </si>
  <si>
    <t>등록</t>
    <phoneticPr fontId="1" type="noConversion"/>
  </si>
  <si>
    <t>권한 등록</t>
    <phoneticPr fontId="1" type="noConversion"/>
  </si>
  <si>
    <t>메뉴등록</t>
    <phoneticPr fontId="1" type="noConversion"/>
  </si>
  <si>
    <t>메인공지팝업관리</t>
    <phoneticPr fontId="1" type="noConversion"/>
  </si>
  <si>
    <t>메인공지팝업상세</t>
    <phoneticPr fontId="1" type="noConversion"/>
  </si>
  <si>
    <t>메인공지팝업등록</t>
    <phoneticPr fontId="1" type="noConversion"/>
  </si>
  <si>
    <t>메인공지팝업수정</t>
    <phoneticPr fontId="1" type="noConversion"/>
  </si>
  <si>
    <t>수정</t>
    <phoneticPr fontId="1" type="noConversion"/>
  </si>
  <si>
    <t>일정관리</t>
    <phoneticPr fontId="1" type="noConversion"/>
  </si>
  <si>
    <t>통계</t>
    <phoneticPr fontId="1" type="noConversion"/>
  </si>
  <si>
    <t>약관관리</t>
    <phoneticPr fontId="1" type="noConversion"/>
  </si>
  <si>
    <t>회원가입 약관</t>
    <phoneticPr fontId="1" type="noConversion"/>
  </si>
  <si>
    <t>회원탈퇴 약관</t>
    <phoneticPr fontId="1" type="noConversion"/>
  </si>
  <si>
    <t>회원가입 약관 (수정)</t>
    <phoneticPr fontId="1" type="noConversion"/>
  </si>
  <si>
    <t>회원탈퇴 약관 (수정)</t>
    <phoneticPr fontId="1" type="noConversion"/>
  </si>
  <si>
    <t>도메인관리</t>
    <phoneticPr fontId="1" type="noConversion"/>
  </si>
  <si>
    <t>기간별통계</t>
    <phoneticPr fontId="1" type="noConversion"/>
  </si>
  <si>
    <t>메뉴별통계</t>
    <phoneticPr fontId="1" type="noConversion"/>
  </si>
  <si>
    <t>하위목록펼침</t>
    <phoneticPr fontId="1" type="noConversion"/>
  </si>
  <si>
    <t>목록 , 게시판유형관리 기본등록(DB 데이터입력)</t>
    <phoneticPr fontId="1" type="noConversion"/>
  </si>
  <si>
    <t>개발가이드</t>
    <phoneticPr fontId="1" type="noConversion"/>
  </si>
  <si>
    <t>/guide/publish/index.html 새로운Tab으로 열기</t>
    <phoneticPr fontId="1" type="noConversion"/>
  </si>
  <si>
    <t>/guide/publish/index.html</t>
    <phoneticPr fontId="1" type="noConversion"/>
  </si>
  <si>
    <t>신규</t>
    <phoneticPr fontId="1" type="noConversion"/>
  </si>
  <si>
    <t>/ma/meta/dbData/list.do</t>
    <phoneticPr fontId="1" type="noConversion"/>
  </si>
  <si>
    <t>/ma/meta/tblDgns/list.do</t>
    <phoneticPr fontId="1" type="noConversion"/>
  </si>
  <si>
    <t>/ma/meta/dmn/list.do</t>
    <phoneticPr fontId="1" type="noConversion"/>
  </si>
  <si>
    <t>/ma/meta/word/list.do</t>
    <phoneticPr fontId="1" type="noConversion"/>
  </si>
  <si>
    <t>/ma/meta/termDiag/list.do</t>
    <phoneticPr fontId="1" type="noConversion"/>
  </si>
  <si>
    <t>/ma/board/secret/list.do</t>
    <phoneticPr fontId="1" type="noConversion"/>
  </si>
  <si>
    <t>FTP</t>
    <phoneticPr fontId="1" type="noConversion"/>
  </si>
  <si>
    <t>_self</t>
    <phoneticPr fontId="1" type="noConversion"/>
  </si>
  <si>
    <t>N</t>
    <phoneticPr fontId="1" type="noConversion"/>
  </si>
  <si>
    <t>FT</t>
    <phoneticPr fontId="1" type="noConversion"/>
  </si>
  <si>
    <t>안내</t>
    <phoneticPr fontId="1" type="noConversion"/>
  </si>
  <si>
    <t>오시는길</t>
    <phoneticPr fontId="1" type="noConversion"/>
  </si>
  <si>
    <t>연혁</t>
    <phoneticPr fontId="1" type="noConversion"/>
  </si>
  <si>
    <t>/ft/board/basic/list.do</t>
    <phoneticPr fontId="1" type="noConversion"/>
  </si>
  <si>
    <t>/ft/board/basic/view.do</t>
    <phoneticPr fontId="1" type="noConversion"/>
  </si>
  <si>
    <t>/ft/board/basic/update.do</t>
    <phoneticPr fontId="1" type="noConversion"/>
  </si>
  <si>
    <t>/ft/board/notice/list.do</t>
    <phoneticPr fontId="1" type="noConversion"/>
  </si>
  <si>
    <t>/ft/board/notice/view.do</t>
    <phoneticPr fontId="1" type="noConversion"/>
  </si>
  <si>
    <t>/ft/board/notice/update.do</t>
    <phoneticPr fontId="1" type="noConversion"/>
  </si>
  <si>
    <t>/ft/board/faq/list.do</t>
    <phoneticPr fontId="1" type="noConversion"/>
  </si>
  <si>
    <t>/ft/board/faq/view.do</t>
    <phoneticPr fontId="1" type="noConversion"/>
  </si>
  <si>
    <t>/ft/board/faq/update.do</t>
    <phoneticPr fontId="1" type="noConversion"/>
  </si>
  <si>
    <t>/ft/board/qna/list.do</t>
    <phoneticPr fontId="1" type="noConversion"/>
  </si>
  <si>
    <t>/ft/board/qna/view.do</t>
    <phoneticPr fontId="1" type="noConversion"/>
  </si>
  <si>
    <t>/ft/board/qna/update.do</t>
    <phoneticPr fontId="1" type="noConversion"/>
  </si>
  <si>
    <t>/ft/board/secret/view.do</t>
    <phoneticPr fontId="1" type="noConversion"/>
  </si>
  <si>
    <t>/ft/board/secret/update.do</t>
    <phoneticPr fontId="1" type="noConversion"/>
  </si>
  <si>
    <t>/ft/board/gallery/list.do</t>
    <phoneticPr fontId="1" type="noConversion"/>
  </si>
  <si>
    <t>/ft/board/gallery/view.do</t>
    <phoneticPr fontId="1" type="noConversion"/>
  </si>
  <si>
    <t>/ft/board/gallery/update.do</t>
    <phoneticPr fontId="1" type="noConversion"/>
  </si>
  <si>
    <t>/ft/intro/history.do</t>
    <phoneticPr fontId="1" type="noConversion"/>
  </si>
  <si>
    <t>/ft/intro/directionWay.do</t>
    <phoneticPr fontId="1" type="noConversion"/>
  </si>
  <si>
    <t>Y</t>
    <phoneticPr fontId="1" type="noConversion"/>
  </si>
  <si>
    <t>VC2(30)</t>
    <phoneticPr fontId="1" type="noConversion"/>
  </si>
  <si>
    <t>권한아이디</t>
    <phoneticPr fontId="1" type="noConversion"/>
  </si>
  <si>
    <t>AUTH_ID</t>
    <phoneticPr fontId="1" type="noConversion"/>
  </si>
  <si>
    <t>권한 한글명</t>
    <phoneticPr fontId="1" type="noConversion"/>
  </si>
  <si>
    <t>권한 영문명</t>
    <phoneticPr fontId="1" type="noConversion"/>
  </si>
  <si>
    <t>AUTH_KOR_NAME</t>
    <phoneticPr fontId="1" type="noConversion"/>
  </si>
  <si>
    <t>AUTH_ENG_NAME</t>
    <phoneticPr fontId="1" type="noConversion"/>
  </si>
  <si>
    <t>VC2(2000)</t>
    <phoneticPr fontId="1" type="noConversion"/>
  </si>
  <si>
    <t>권한설명</t>
    <phoneticPr fontId="1" type="noConversion"/>
  </si>
  <si>
    <t>AUTH_COMMENT</t>
    <phoneticPr fontId="1" type="noConversion"/>
  </si>
  <si>
    <t>C(1)</t>
    <phoneticPr fontId="1" type="noConversion"/>
  </si>
  <si>
    <t>삭제 가능여부</t>
    <phoneticPr fontId="1" type="noConversion"/>
  </si>
  <si>
    <t>AllAdmin</t>
    <phoneticPr fontId="1" type="noConversion"/>
  </si>
  <si>
    <t>전체관리자</t>
    <phoneticPr fontId="1" type="noConversion"/>
  </si>
  <si>
    <t>Operator</t>
    <phoneticPr fontId="1" type="noConversion"/>
  </si>
  <si>
    <t>시스템운영자</t>
    <phoneticPr fontId="1" type="noConversion"/>
  </si>
  <si>
    <t xml:space="preserve">시스템 전체관리자 </t>
    <phoneticPr fontId="1" type="noConversion"/>
  </si>
  <si>
    <t>시스템 운영자</t>
    <phoneticPr fontId="1" type="noConversion"/>
  </si>
  <si>
    <t>Developer</t>
    <phoneticPr fontId="1" type="noConversion"/>
  </si>
  <si>
    <t>S/W개발자</t>
    <phoneticPr fontId="1" type="noConversion"/>
  </si>
  <si>
    <t>SoftWare 개발자</t>
    <phoneticPr fontId="1" type="noConversion"/>
  </si>
  <si>
    <t>Desiginer</t>
    <phoneticPr fontId="1" type="noConversion"/>
  </si>
  <si>
    <t>S/W디자이너</t>
    <phoneticPr fontId="1" type="noConversion"/>
  </si>
  <si>
    <t>SoftWare 디자이너</t>
    <phoneticPr fontId="1" type="noConversion"/>
  </si>
  <si>
    <t>Archtector</t>
    <phoneticPr fontId="1" type="noConversion"/>
  </si>
  <si>
    <t>S/W아키텍처</t>
    <phoneticPr fontId="1" type="noConversion"/>
  </si>
  <si>
    <t>Anonyomus</t>
    <phoneticPr fontId="1" type="noConversion"/>
  </si>
  <si>
    <t>익명사용자</t>
    <phoneticPr fontId="1" type="noConversion"/>
  </si>
  <si>
    <t>익명사용자 (로그인전 사용자)</t>
    <phoneticPr fontId="1" type="noConversion"/>
  </si>
  <si>
    <t>Member</t>
    <phoneticPr fontId="1" type="noConversion"/>
  </si>
  <si>
    <t>Ready</t>
    <phoneticPr fontId="1" type="noConversion"/>
  </si>
  <si>
    <t>가입승인준비자</t>
    <phoneticPr fontId="1" type="noConversion"/>
  </si>
  <si>
    <t>가입승인 준비자</t>
    <phoneticPr fontId="1" type="noConversion"/>
  </si>
  <si>
    <t>시스템 회원</t>
    <phoneticPr fontId="1" type="noConversion"/>
  </si>
  <si>
    <t>시스템사용자(가입승인회원)</t>
    <phoneticPr fontId="1" type="noConversion"/>
  </si>
  <si>
    <t>Y</t>
    <phoneticPr fontId="1" type="noConversion"/>
  </si>
  <si>
    <t>N</t>
    <phoneticPr fontId="1" type="noConversion"/>
  </si>
  <si>
    <t>메뉴아이디</t>
    <phoneticPr fontId="1" type="noConversion"/>
  </si>
  <si>
    <t>READ_YN</t>
    <phoneticPr fontId="1" type="noConversion"/>
  </si>
  <si>
    <t>WRITE_YN</t>
    <phoneticPr fontId="1" type="noConversion"/>
  </si>
  <si>
    <t>UPDATE_YN</t>
    <phoneticPr fontId="1" type="noConversion"/>
  </si>
  <si>
    <t>DELETE_YN</t>
    <phoneticPr fontId="1" type="noConversion"/>
  </si>
  <si>
    <t>사용자 ID</t>
    <phoneticPr fontId="1" type="noConversion"/>
  </si>
  <si>
    <t>사용자 비밀번호</t>
    <phoneticPr fontId="1" type="noConversion"/>
  </si>
  <si>
    <t>사용자이름(한글)</t>
    <phoneticPr fontId="1" type="noConversion"/>
  </si>
  <si>
    <t>휴대전화번호</t>
    <phoneticPr fontId="1" type="noConversion"/>
  </si>
  <si>
    <t>VC(20)</t>
    <phoneticPr fontId="1" type="noConversion"/>
  </si>
  <si>
    <t>VC(2000)</t>
    <phoneticPr fontId="1" type="noConversion"/>
  </si>
  <si>
    <t>VC(100)</t>
    <phoneticPr fontId="1" type="noConversion"/>
  </si>
  <si>
    <t>이메일 주소</t>
    <phoneticPr fontId="1" type="noConversion"/>
  </si>
  <si>
    <t>timestamp</t>
    <phoneticPr fontId="1" type="noConversion"/>
  </si>
  <si>
    <t>권한영역코드</t>
    <phoneticPr fontId="1" type="noConversion"/>
  </si>
  <si>
    <t>AUTH_AREA_CD</t>
    <phoneticPr fontId="1" type="noConversion"/>
  </si>
  <si>
    <t>소속명</t>
    <phoneticPr fontId="1" type="noConversion"/>
  </si>
  <si>
    <t>BLON_NM</t>
    <phoneticPr fontId="1" type="noConversion"/>
  </si>
  <si>
    <t>등록경로</t>
    <phoneticPr fontId="1" type="noConversion"/>
  </si>
  <si>
    <t>REG_DIV_CD</t>
    <phoneticPr fontId="1" type="noConversion"/>
  </si>
  <si>
    <t>V(1)</t>
    <phoneticPr fontId="1" type="noConversion"/>
  </si>
  <si>
    <t>standard_ms</t>
    <phoneticPr fontId="1" type="noConversion"/>
  </si>
  <si>
    <t>USER_ID</t>
    <phoneticPr fontId="1" type="noConversion"/>
  </si>
  <si>
    <t>operAdmin</t>
    <phoneticPr fontId="1" type="noConversion"/>
  </si>
  <si>
    <t>시스템전체관리자</t>
    <phoneticPr fontId="1" type="noConversion"/>
  </si>
  <si>
    <t>dummyUser</t>
    <phoneticPr fontId="1" type="noConversion"/>
  </si>
  <si>
    <t>MOBILE_NO</t>
    <phoneticPr fontId="1" type="noConversion"/>
  </si>
  <si>
    <t>EMAIL_ADDR</t>
    <phoneticPr fontId="1" type="noConversion"/>
  </si>
  <si>
    <t>오픈노트</t>
    <phoneticPr fontId="1" type="noConversion"/>
  </si>
  <si>
    <t>initialize</t>
    <phoneticPr fontId="1" type="noConversion"/>
  </si>
  <si>
    <t>01012341234</t>
    <phoneticPr fontId="1" type="noConversion"/>
  </si>
  <si>
    <t>01012342345</t>
    <phoneticPr fontId="1" type="noConversion"/>
  </si>
  <si>
    <t>01012343456</t>
    <phoneticPr fontId="1" type="noConversion"/>
  </si>
  <si>
    <t>aaaa@opennote.co.kr</t>
    <phoneticPr fontId="1" type="noConversion"/>
  </si>
  <si>
    <t>bbbb@opennote.co.kr</t>
    <phoneticPr fontId="1" type="noConversion"/>
  </si>
  <si>
    <t>cccc@opennote.co.kr</t>
    <phoneticPr fontId="1" type="noConversion"/>
  </si>
  <si>
    <t>SQL
Script</t>
    <phoneticPr fontId="1" type="noConversion"/>
  </si>
  <si>
    <t>SQL 
Expression</t>
    <phoneticPr fontId="1" type="noConversion"/>
  </si>
  <si>
    <t>MENU_DIV_CD</t>
    <phoneticPr fontId="1" type="noConversion"/>
  </si>
  <si>
    <t>MENU_PAGE_DIV</t>
    <phoneticPr fontId="1" type="noConversion"/>
  </si>
  <si>
    <t>페이지구분</t>
    <phoneticPr fontId="1" type="noConversion"/>
  </si>
  <si>
    <t>MENU_URL_ADDR</t>
    <phoneticPr fontId="1" type="noConversion"/>
  </si>
  <si>
    <t>MENU_COMMENT</t>
    <phoneticPr fontId="1" type="noConversion"/>
  </si>
  <si>
    <t>VC2(1000)</t>
    <phoneticPr fontId="1" type="noConversion"/>
  </si>
  <si>
    <t>메뉴_설명</t>
    <phoneticPr fontId="1" type="noConversion"/>
  </si>
  <si>
    <t>INSERT INTO STB_B_AUTH_MNG (AUTH_ID, AUTH_KOR_NAME, AUTH_COMMENT, USE_YN, IS_DEL_ABLE) VALUES('AllAdmin','전체관리자','시스템 전체관리자 ','Y','N');</t>
  </si>
  <si>
    <t>INSERT INTO STB_B_AUTH_MNG (AUTH_ID, AUTH_KOR_NAME, AUTH_COMMENT, USE_YN, IS_DEL_ABLE) VALUES('Operator','시스템운영자','시스템 운영자','Y','N');</t>
  </si>
  <si>
    <t>INSERT INTO STB_B_AUTH_MNG (AUTH_ID, AUTH_KOR_NAME, AUTH_COMMENT, USE_YN, IS_DEL_ABLE) VALUES('Developer','S/W개발자','SoftWare 개발자','Y','Y');</t>
  </si>
  <si>
    <t>INSERT INTO STB_B_AUTH_MNG (AUTH_ID, AUTH_KOR_NAME, AUTH_COMMENT, USE_YN, IS_DEL_ABLE) VALUES('Desiginer','S/W디자이너','SoftWare 디자이너','Y','Y');</t>
  </si>
  <si>
    <t>INSERT INTO STB_B_AUTH_MNG (AUTH_ID, AUTH_KOR_NAME, AUTH_COMMENT, USE_YN, IS_DEL_ABLE) VALUES('Archtector','S/W아키텍처','S/W아키텍처','Y','Y');</t>
  </si>
  <si>
    <t>INSERT INTO STB_B_AUTH_MNG (AUTH_ID, AUTH_KOR_NAME, AUTH_COMMENT, USE_YN, IS_DEL_ABLE) VALUES('Anonyomus','익명사용자','익명사용자 (로그인전 사용자)','Y','N');</t>
  </si>
  <si>
    <t>INSERT INTO STB_B_AUTH_MNG (AUTH_ID, AUTH_KOR_NAME, AUTH_COMMENT, USE_YN, IS_DEL_ABLE) VALUES('Ready','가입승인준비자','가입승인 준비자','Y','N');</t>
  </si>
  <si>
    <t>INSERT INTO STB_B_AUTH_MNG (AUTH_ID, AUTH_KOR_NAME, AUTH_COMMENT, USE_YN, IS_DEL_ABLE) VALUES('Member','시스템 회원','시스템사용자(가입승인회원)','Y','Y');</t>
  </si>
  <si>
    <t>POPUP_OPEN_YN</t>
    <phoneticPr fontId="1" type="noConversion"/>
  </si>
  <si>
    <t>팝업조회권한</t>
    <phoneticPr fontId="1" type="noConversion"/>
  </si>
  <si>
    <t>조회권한</t>
    <phoneticPr fontId="1" type="noConversion"/>
  </si>
  <si>
    <t>작성권한</t>
    <phoneticPr fontId="1" type="noConversion"/>
  </si>
  <si>
    <t>수정권한</t>
    <phoneticPr fontId="1" type="noConversion"/>
  </si>
  <si>
    <t>삭제권한</t>
    <phoneticPr fontId="1" type="noConversion"/>
  </si>
  <si>
    <t>팝업열기</t>
    <phoneticPr fontId="1" type="noConversion"/>
  </si>
  <si>
    <t>팝업작성권한</t>
    <phoneticPr fontId="1" type="noConversion"/>
  </si>
  <si>
    <t>팝업수정권한</t>
    <phoneticPr fontId="1" type="noConversion"/>
  </si>
  <si>
    <t>팝업삭제권한</t>
    <phoneticPr fontId="1" type="noConversion"/>
  </si>
  <si>
    <t>POPUP_READ_YN</t>
    <phoneticPr fontId="1" type="noConversion"/>
  </si>
  <si>
    <t>POPUP_WRITE_YN</t>
    <phoneticPr fontId="1" type="noConversion"/>
  </si>
  <si>
    <t>POPUP_UPDATE_YN</t>
    <phoneticPr fontId="1" type="noConversion"/>
  </si>
  <si>
    <t>POPUP_DELETE_YN</t>
    <phoneticPr fontId="1" type="noConversion"/>
  </si>
  <si>
    <t>USER_PSWD</t>
    <phoneticPr fontId="1" type="noConversion"/>
  </si>
  <si>
    <t>USER_KOR_NAME</t>
    <phoneticPr fontId="1" type="noConversion"/>
  </si>
  <si>
    <t>INSERT INTO STB_M_AUTH_USER_MNG (AUTH_ID , USER_ID , USE_YN , IS_DEL_ABLE) VALUES('AllAdmin','standard_ms','Y','N');</t>
  </si>
  <si>
    <t>INSERT INTO STB_M_AUTH_USER_MNG (AUTH_ID , USER_ID , USE_YN , IS_DEL_ABLE) VALUES('Operator','operAdmin','Y','N');</t>
  </si>
  <si>
    <t>INSERT INTO STB_M_AUTH_USER_MNG (AUTH_ID , USER_ID , USE_YN , IS_DEL_ABLE) VALUES('Anonyomus','dummyUser','Y','N');</t>
  </si>
  <si>
    <t>MAIN</t>
    <phoneticPr fontId="1" type="noConversion"/>
  </si>
  <si>
    <t>SUB</t>
    <phoneticPr fontId="1" type="noConversion"/>
  </si>
  <si>
    <t>d68a837308ad818a3d04dcd34dcf94d140c47e4c4354006067a8b4c9ae11ec5dc1b350c56e35a3c8abf1be943dafafb1c08bc00bcc0f2f59b0c114ba0158d523</t>
    <phoneticPr fontId="1" type="noConversion"/>
  </si>
  <si>
    <t>INSERT INTO STB_B_USER_MNG (USER_ID,USER_PSWD,  USER_KOR_NM, MOBILE_NO, EMAIL_ADDR, AUTH_AREA_CD, BLON_NM, REG_DIV_CD, IS_DEL_ABLE) VALUES ('standard_ms','d68a837308ad818a3d04dcd34dcf94d140c47e4c4354006067a8b4c9ae11ec5dc1b350c56e35a3c8abf1be943dafafb1c08bc00bcc0f2f59b0c114ba0158d523','시스템전체관리자','01012341234','aaaa@opennote.co.kr','MA','오픈노트','initialize','N');</t>
  </si>
  <si>
    <t>INSERT INTO STB_B_USER_MNG (USER_ID,USER_PSWD,  USER_KOR_NM, MOBILE_NO, EMAIL_ADDR, AUTH_AREA_CD, BLON_NM, REG_DIV_CD, IS_DEL_ABLE) VALUES ('operAdmin','d68a837308ad818a3d04dcd34dcf94d140c47e4c4354006067a8b4c9ae11ec5dc1b350c56e35a3c8abf1be943dafafb1c08bc00bcc0f2f59b0c114ba0158d523','시스템운영자','01012342345','bbbb@opennote.co.kr','MA','오픈노트','initialize','N');</t>
  </si>
  <si>
    <t>INSERT INTO STB_B_USER_MNG (USER_ID,USER_PSWD,  USER_KOR_NM, MOBILE_NO, EMAIL_ADDR, AUTH_AREA_CD, BLON_NM, REG_DIV_CD, IS_DEL_ABLE) VALUES ('dummyUser','d68a837308ad818a3d04dcd34dcf94d140c47e4c4354006067a8b4c9ae11ec5dc1b350c56e35a3c8abf1be943dafafb1c08bc00bcc0f2f59b0c114ba0158d523','익명사용자','01012343456','cccc@opennote.co.kr','FT','오픈노트','initialize','N');</t>
  </si>
  <si>
    <t>ENC_ALGORITHM</t>
  </si>
  <si>
    <t>COM_CD</t>
    <phoneticPr fontId="1" type="noConversion"/>
  </si>
  <si>
    <t>UPP_COM_CD</t>
    <phoneticPr fontId="1" type="noConversion"/>
  </si>
  <si>
    <t>공통코드</t>
    <phoneticPr fontId="1" type="noConversion"/>
  </si>
  <si>
    <t>상위 공통코드</t>
    <phoneticPr fontId="1" type="noConversion"/>
  </si>
  <si>
    <t>SORT_NO</t>
    <phoneticPr fontId="1" type="noConversion"/>
  </si>
  <si>
    <t>CD_COMMENT</t>
    <phoneticPr fontId="1" type="noConversion"/>
  </si>
  <si>
    <t>공통코드 설명</t>
    <phoneticPr fontId="1" type="noConversion"/>
  </si>
  <si>
    <t>INT(2)</t>
    <phoneticPr fontId="1" type="noConversion"/>
  </si>
  <si>
    <t>AUTH_DIV</t>
    <phoneticPr fontId="1" type="noConversion"/>
  </si>
  <si>
    <t>공통코드 ROOT</t>
    <phoneticPr fontId="1" type="noConversion"/>
  </si>
  <si>
    <t>권한구분</t>
    <phoneticPr fontId="1" type="noConversion"/>
  </si>
  <si>
    <t>관리자</t>
    <phoneticPr fontId="1" type="noConversion"/>
  </si>
  <si>
    <t>사용자</t>
    <phoneticPr fontId="1" type="noConversion"/>
  </si>
  <si>
    <t>SHA512</t>
    <phoneticPr fontId="1" type="noConversion"/>
  </si>
  <si>
    <t>SHA1024</t>
    <phoneticPr fontId="1" type="noConversion"/>
  </si>
  <si>
    <t>RSA</t>
    <phoneticPr fontId="1" type="noConversion"/>
  </si>
  <si>
    <t>SHA256</t>
    <phoneticPr fontId="1" type="noConversion"/>
  </si>
  <si>
    <t>MD5</t>
    <phoneticPr fontId="1" type="noConversion"/>
  </si>
  <si>
    <t>회원가입경로구분</t>
    <phoneticPr fontId="1" type="noConversion"/>
  </si>
  <si>
    <t>JOIN_DIV</t>
    <phoneticPr fontId="1" type="noConversion"/>
  </si>
  <si>
    <t>초기화시점등록</t>
    <phoneticPr fontId="1" type="noConversion"/>
  </si>
  <si>
    <t>사용자직접가입</t>
    <phoneticPr fontId="1" type="noConversion"/>
  </si>
  <si>
    <t>관리자직권등록</t>
    <phoneticPr fontId="1" type="noConversion"/>
  </si>
  <si>
    <t>암호화 알고리즘</t>
    <phoneticPr fontId="1" type="noConversion"/>
  </si>
  <si>
    <t>SHA256 알고리즘</t>
    <phoneticPr fontId="1" type="noConversion"/>
  </si>
  <si>
    <t>SHA512 알고리즘</t>
    <phoneticPr fontId="1" type="noConversion"/>
  </si>
  <si>
    <t>SHA1024 알고리즘</t>
    <phoneticPr fontId="1" type="noConversion"/>
  </si>
  <si>
    <t>RSA 알고리즘</t>
    <phoneticPr fontId="1" type="noConversion"/>
  </si>
  <si>
    <t>MD5알고리즘</t>
    <phoneticPr fontId="1" type="noConversion"/>
  </si>
  <si>
    <t>VC(100)</t>
  </si>
  <si>
    <t>FILTER_1</t>
    <phoneticPr fontId="1" type="noConversion"/>
  </si>
  <si>
    <t>필터1</t>
    <phoneticPr fontId="1" type="noConversion"/>
  </si>
  <si>
    <t>필터2</t>
    <phoneticPr fontId="1" type="noConversion"/>
  </si>
  <si>
    <t>FILTER_2</t>
    <phoneticPr fontId="1" type="noConversion"/>
  </si>
  <si>
    <t>필터3</t>
  </si>
  <si>
    <t>필터4</t>
  </si>
  <si>
    <t>필터5</t>
  </si>
  <si>
    <t>필터6</t>
  </si>
  <si>
    <t>필터7</t>
  </si>
  <si>
    <t>필터8</t>
  </si>
  <si>
    <t>FILTER_3</t>
  </si>
  <si>
    <t>FILTER_4</t>
  </si>
  <si>
    <t>FILTER_5</t>
  </si>
  <si>
    <t>FILTER_6</t>
  </si>
  <si>
    <t>FILTER_7</t>
  </si>
  <si>
    <t>FILTER_8</t>
  </si>
  <si>
    <t>필터9</t>
  </si>
  <si>
    <t>필터10</t>
  </si>
  <si>
    <t>FILTER_9</t>
  </si>
  <si>
    <t>FILTER_10</t>
  </si>
  <si>
    <t>PWD_ENC_ALGORITHM</t>
    <phoneticPr fontId="1" type="noConversion"/>
  </si>
  <si>
    <t xml:space="preserve">  PWD_CHG_CYCL_USE_YN</t>
  </si>
  <si>
    <t>사용자 비밀번호 변경주기활용 여부</t>
    <phoneticPr fontId="1" type="noConversion"/>
  </si>
  <si>
    <t xml:space="preserve">  PWD_CHG_CYCL_DD</t>
  </si>
  <si>
    <t>비밀번호 변경주기 (일=Days)</t>
    <phoneticPr fontId="1" type="noConversion"/>
  </si>
  <si>
    <t xml:space="preserve">LGIN_LMT_USE_YN  </t>
    <phoneticPr fontId="1" type="noConversion"/>
  </si>
  <si>
    <t>로그인제한 사용여부</t>
    <phoneticPr fontId="1" type="noConversion"/>
  </si>
  <si>
    <t>LGIN_FAIL_LMT_CNT</t>
    <phoneticPr fontId="1" type="noConversion"/>
  </si>
  <si>
    <t>로그인제한횟수</t>
    <phoneticPr fontId="1" type="noConversion"/>
  </si>
  <si>
    <t>ITSM_USE_YN</t>
    <phoneticPr fontId="1" type="noConversion"/>
  </si>
  <si>
    <t>ITSM사용여부</t>
    <phoneticPr fontId="1" type="noConversion"/>
  </si>
  <si>
    <t>BASE_AUTH_ID</t>
    <phoneticPr fontId="1" type="noConversion"/>
  </si>
  <si>
    <t>회원가입 기본그룹ID</t>
    <phoneticPr fontId="1" type="noConversion"/>
  </si>
  <si>
    <t>PSSN_PRD_CD</t>
    <phoneticPr fontId="1" type="noConversion"/>
  </si>
  <si>
    <t>탈퇴회원정보 보유기간 코드</t>
    <phoneticPr fontId="1" type="noConversion"/>
  </si>
  <si>
    <t>파일저장구분</t>
    <phoneticPr fontId="1" type="noConversion"/>
  </si>
  <si>
    <t xml:space="preserve">FILE_SAVE_DIV_CD </t>
    <phoneticPr fontId="1" type="noConversion"/>
  </si>
  <si>
    <t xml:space="preserve">ATCH_FILE_PATH </t>
  </si>
  <si>
    <t>파일저장기본경로</t>
    <phoneticPr fontId="1" type="noConversion"/>
  </si>
  <si>
    <t>/ma/system/basic/form.do</t>
    <phoneticPr fontId="1" type="noConversion"/>
  </si>
  <si>
    <t>/ma/system/basic/update.do</t>
    <phoneticPr fontId="1" type="noConversion"/>
  </si>
  <si>
    <t>/ma/system/auth/list.do</t>
    <phoneticPr fontId="1" type="noConversion"/>
  </si>
  <si>
    <t>/ma/system/auth/view.do</t>
    <phoneticPr fontId="1" type="noConversion"/>
  </si>
  <si>
    <t>/ma/system/auth/update.do</t>
    <phoneticPr fontId="1" type="noConversion"/>
  </si>
  <si>
    <t>/ma/system/auth/regist.do</t>
    <phoneticPr fontId="1" type="noConversion"/>
  </si>
  <si>
    <t>/ma/system/authMenu/list.do</t>
    <phoneticPr fontId="1" type="noConversion"/>
  </si>
  <si>
    <t>/ma/system/authMenu/update.do</t>
    <phoneticPr fontId="1" type="noConversion"/>
  </si>
  <si>
    <t>/ma/system/menu/list.do</t>
    <phoneticPr fontId="1" type="noConversion"/>
  </si>
  <si>
    <t>/ma/system/menu/view.do</t>
    <phoneticPr fontId="1" type="noConversion"/>
  </si>
  <si>
    <t>/ma/system/menu/update.do</t>
    <phoneticPr fontId="1" type="noConversion"/>
  </si>
  <si>
    <t>/ma/system/menu/regist.do</t>
    <phoneticPr fontId="1" type="noConversion"/>
  </si>
  <si>
    <t>/ma/system/user/regist.do</t>
    <phoneticPr fontId="1" type="noConversion"/>
  </si>
  <si>
    <t>/ma/system/user/view.do</t>
    <phoneticPr fontId="1" type="noConversion"/>
  </si>
  <si>
    <t>/ma/system/user/update.do</t>
    <phoneticPr fontId="1" type="noConversion"/>
  </si>
  <si>
    <t>/ma/system/comcode/list.do</t>
    <phoneticPr fontId="1" type="noConversion"/>
  </si>
  <si>
    <t>/ma/system/boardtype/list.do</t>
    <phoneticPr fontId="1" type="noConversion"/>
  </si>
  <si>
    <t>/ma/system/boardtype/view.do</t>
    <phoneticPr fontId="1" type="noConversion"/>
  </si>
  <si>
    <t>/ma/system/boardtype/update.do</t>
    <phoneticPr fontId="1" type="noConversion"/>
  </si>
  <si>
    <t>/ma/system/popup/list.do</t>
    <phoneticPr fontId="1" type="noConversion"/>
  </si>
  <si>
    <t>/ma/system/popup/view.do</t>
    <phoneticPr fontId="1" type="noConversion"/>
  </si>
  <si>
    <t>/ma/system/popup/update.do</t>
    <phoneticPr fontId="1" type="noConversion"/>
  </si>
  <si>
    <t>/ma/system/popup/regist.do</t>
    <phoneticPr fontId="1" type="noConversion"/>
  </si>
  <si>
    <t>/ma/system/join/agreement/view.do</t>
    <phoneticPr fontId="1" type="noConversion"/>
  </si>
  <si>
    <t>/ma/system/join/agreement/update.do</t>
    <phoneticPr fontId="1" type="noConversion"/>
  </si>
  <si>
    <t>/ma/system/escape/agreement/view.do</t>
    <phoneticPr fontId="1" type="noConversion"/>
  </si>
  <si>
    <t>/ma/system/escape/agreement/update.do</t>
    <phoneticPr fontId="1" type="noConversion"/>
  </si>
  <si>
    <t>레이아웃</t>
    <phoneticPr fontId="1" type="noConversion"/>
  </si>
  <si>
    <t>LAY_OUT</t>
    <phoneticPr fontId="1" type="noConversion"/>
  </si>
  <si>
    <t>.mLayout:</t>
    <phoneticPr fontId="1" type="noConversion"/>
  </si>
  <si>
    <t>.fLayout:</t>
    <phoneticPr fontId="1" type="noConversion"/>
  </si>
  <si>
    <t>Home</t>
    <phoneticPr fontId="1" type="noConversion"/>
  </si>
  <si>
    <t>RTN_URL</t>
    <phoneticPr fontId="1" type="noConversion"/>
  </si>
  <si>
    <t>리턴 URL</t>
    <phoneticPr fontId="1" type="noConversion"/>
  </si>
  <si>
    <t>/ma/system/basic/form</t>
    <phoneticPr fontId="1" type="noConversion"/>
  </si>
  <si>
    <t>/ma/system/basic/update</t>
    <phoneticPr fontId="1" type="noConversion"/>
  </si>
  <si>
    <t>/ma/system/auth/list</t>
    <phoneticPr fontId="1" type="noConversion"/>
  </si>
  <si>
    <t>/ma/system/auth/view</t>
    <phoneticPr fontId="1" type="noConversion"/>
  </si>
  <si>
    <t>/ma/system/auth/update</t>
    <phoneticPr fontId="1" type="noConversion"/>
  </si>
  <si>
    <t>/ma/system/auth/regist</t>
    <phoneticPr fontId="1" type="noConversion"/>
  </si>
  <si>
    <t>/ma/system/authMenu/list</t>
    <phoneticPr fontId="1" type="noConversion"/>
  </si>
  <si>
    <t>/ma/system/authMenu/update</t>
    <phoneticPr fontId="1" type="noConversion"/>
  </si>
  <si>
    <t>/ma/system/menu/list</t>
    <phoneticPr fontId="1" type="noConversion"/>
  </si>
  <si>
    <t>/ma/system/menu/view</t>
    <phoneticPr fontId="1" type="noConversion"/>
  </si>
  <si>
    <t>/ma/system/menu/update</t>
    <phoneticPr fontId="1" type="noConversion"/>
  </si>
  <si>
    <t>/ma/system/menu/regist</t>
    <phoneticPr fontId="1" type="noConversion"/>
  </si>
  <si>
    <t>/ma/system/user/regist</t>
    <phoneticPr fontId="1" type="noConversion"/>
  </si>
  <si>
    <t>/ma/system/user/view</t>
    <phoneticPr fontId="1" type="noConversion"/>
  </si>
  <si>
    <t>/ma/system/user/update</t>
    <phoneticPr fontId="1" type="noConversion"/>
  </si>
  <si>
    <t>/ma/system/comcode/list</t>
    <phoneticPr fontId="1" type="noConversion"/>
  </si>
  <si>
    <t>/ma/system/boardtype/list</t>
    <phoneticPr fontId="1" type="noConversion"/>
  </si>
  <si>
    <t>/ma/system/boardtype/view</t>
    <phoneticPr fontId="1" type="noConversion"/>
  </si>
  <si>
    <t>/ma/system/boardtype/update</t>
    <phoneticPr fontId="1" type="noConversion"/>
  </si>
  <si>
    <t>/ma/system/popup/list</t>
    <phoneticPr fontId="1" type="noConversion"/>
  </si>
  <si>
    <t>/ma/system/popup/view</t>
    <phoneticPr fontId="1" type="noConversion"/>
  </si>
  <si>
    <t>/ma/system/popup/update</t>
    <phoneticPr fontId="1" type="noConversion"/>
  </si>
  <si>
    <t>/ma/system/popup/regist</t>
    <phoneticPr fontId="1" type="noConversion"/>
  </si>
  <si>
    <t>/ma/system/join/agreement/view</t>
    <phoneticPr fontId="1" type="noConversion"/>
  </si>
  <si>
    <t>/ma/system/join/agreement/update</t>
    <phoneticPr fontId="1" type="noConversion"/>
  </si>
  <si>
    <t>/ma/system/escape/agreement/view</t>
    <phoneticPr fontId="1" type="noConversion"/>
  </si>
  <si>
    <t>/ma/system/escape/agreement/update</t>
    <phoneticPr fontId="1" type="noConversion"/>
  </si>
  <si>
    <t>/ma/meta/dbData/list</t>
    <phoneticPr fontId="1" type="noConversion"/>
  </si>
  <si>
    <t>/ma/meta/tblDgns/list</t>
    <phoneticPr fontId="1" type="noConversion"/>
  </si>
  <si>
    <t>/ma/meta/dmn/list</t>
    <phoneticPr fontId="1" type="noConversion"/>
  </si>
  <si>
    <t>/ma/meta/word/list</t>
    <phoneticPr fontId="1" type="noConversion"/>
  </si>
  <si>
    <t>/ma/meta/termDiag/list</t>
    <phoneticPr fontId="1" type="noConversion"/>
  </si>
  <si>
    <t>/ma/board/secret/list</t>
    <phoneticPr fontId="1" type="noConversion"/>
  </si>
  <si>
    <t>_blank</t>
    <phoneticPr fontId="1" type="noConversion"/>
  </si>
  <si>
    <t>/ft/intro/history</t>
    <phoneticPr fontId="1" type="noConversion"/>
  </si>
  <si>
    <t>/ft/intro/directionWay</t>
    <phoneticPr fontId="1" type="noConversion"/>
  </si>
  <si>
    <t>/ft/board/basic/list</t>
    <phoneticPr fontId="1" type="noConversion"/>
  </si>
  <si>
    <t>/ft/board/basic/view</t>
    <phoneticPr fontId="1" type="noConversion"/>
  </si>
  <si>
    <t>/ft/board/basic/update</t>
    <phoneticPr fontId="1" type="noConversion"/>
  </si>
  <si>
    <t>/ft/board/notice/list</t>
    <phoneticPr fontId="1" type="noConversion"/>
  </si>
  <si>
    <t>/ft/board/notice/view</t>
    <phoneticPr fontId="1" type="noConversion"/>
  </si>
  <si>
    <t>/ft/board/notice/update</t>
    <phoneticPr fontId="1" type="noConversion"/>
  </si>
  <si>
    <t>/ft/board/faq/list</t>
    <phoneticPr fontId="1" type="noConversion"/>
  </si>
  <si>
    <t>/ft/board/faq/view</t>
    <phoneticPr fontId="1" type="noConversion"/>
  </si>
  <si>
    <t>/ft/board/faq/update</t>
    <phoneticPr fontId="1" type="noConversion"/>
  </si>
  <si>
    <t>/ft/board/qna/list</t>
    <phoneticPr fontId="1" type="noConversion"/>
  </si>
  <si>
    <t>/ft/board/qna/view</t>
    <phoneticPr fontId="1" type="noConversion"/>
  </si>
  <si>
    <t>/ft/board/qna/update</t>
    <phoneticPr fontId="1" type="noConversion"/>
  </si>
  <si>
    <t>/ft/board/secret/view</t>
    <phoneticPr fontId="1" type="noConversion"/>
  </si>
  <si>
    <t>/ft/board/secret/update</t>
    <phoneticPr fontId="1" type="noConversion"/>
  </si>
  <si>
    <t>/ft/board/gallery/list</t>
    <phoneticPr fontId="1" type="noConversion"/>
  </si>
  <si>
    <t>/ft/board/gallery/view</t>
    <phoneticPr fontId="1" type="noConversion"/>
  </si>
  <si>
    <t>/ft/board/gallery/update</t>
    <phoneticPr fontId="1" type="noConversion"/>
  </si>
  <si>
    <t>시스템운영 정책</t>
    <phoneticPr fontId="1" type="noConversion"/>
  </si>
  <si>
    <t>게시판정보관리</t>
    <phoneticPr fontId="1" type="noConversion"/>
  </si>
  <si>
    <t>시스템운영 정책 수정</t>
    <phoneticPr fontId="1" type="noConversion"/>
  </si>
  <si>
    <t>권한별 접근메뉴 관리</t>
    <phoneticPr fontId="1" type="noConversion"/>
  </si>
  <si>
    <t>메뉴얼관리</t>
    <phoneticPr fontId="1" type="noConversion"/>
  </si>
  <si>
    <t>메뉴얼조회</t>
    <phoneticPr fontId="1" type="noConversion"/>
  </si>
  <si>
    <t>메뉴얼수정</t>
    <phoneticPr fontId="1" type="noConversion"/>
  </si>
  <si>
    <t>메뉴얼등록</t>
    <phoneticPr fontId="1" type="noConversion"/>
  </si>
  <si>
    <t>상세(삭제)</t>
    <phoneticPr fontId="1" type="noConversion"/>
  </si>
  <si>
    <t>컨텐츠등록</t>
    <phoneticPr fontId="1" type="noConversion"/>
  </si>
  <si>
    <t>컨텐츠상세</t>
    <phoneticPr fontId="1" type="noConversion"/>
  </si>
  <si>
    <t>컨텐츠수정</t>
    <phoneticPr fontId="1" type="noConversion"/>
  </si>
  <si>
    <t>게시판유형등록</t>
    <phoneticPr fontId="1" type="noConversion"/>
  </si>
  <si>
    <t>게시판유형수정</t>
    <phoneticPr fontId="1" type="noConversion"/>
  </si>
  <si>
    <t>DB데이터</t>
    <phoneticPr fontId="1" type="noConversion"/>
  </si>
  <si>
    <t>/ma/meta/term/list.do</t>
    <phoneticPr fontId="1" type="noConversion"/>
  </si>
  <si>
    <t>로그관리</t>
    <phoneticPr fontId="1" type="noConversion"/>
  </si>
  <si>
    <t>로그인로그</t>
    <phoneticPr fontId="1" type="noConversion"/>
  </si>
  <si>
    <t>에러로그</t>
    <phoneticPr fontId="1" type="noConversion"/>
  </si>
  <si>
    <t>Action로그</t>
    <phoneticPr fontId="1" type="noConversion"/>
  </si>
  <si>
    <t>에러 상세</t>
    <phoneticPr fontId="1" type="noConversion"/>
  </si>
  <si>
    <t>Action상세</t>
    <phoneticPr fontId="1" type="noConversion"/>
  </si>
  <si>
    <t>로그인통계</t>
    <phoneticPr fontId="1" type="noConversion"/>
  </si>
  <si>
    <t>비밀게시판</t>
    <phoneticPr fontId="1" type="noConversion"/>
  </si>
  <si>
    <t>게시판샘플</t>
    <phoneticPr fontId="1" type="noConversion"/>
  </si>
  <si>
    <t>FAQ등록</t>
    <phoneticPr fontId="1" type="noConversion"/>
  </si>
  <si>
    <t>FAQ수정</t>
    <phoneticPr fontId="1" type="noConversion"/>
  </si>
  <si>
    <t>QNA등록</t>
    <phoneticPr fontId="1" type="noConversion"/>
  </si>
  <si>
    <t>QNA수정</t>
    <phoneticPr fontId="1" type="noConversion"/>
  </si>
  <si>
    <t>비밀게시판 등록</t>
    <phoneticPr fontId="1" type="noConversion"/>
  </si>
  <si>
    <t>비밀게시판 수정</t>
    <phoneticPr fontId="1" type="noConversion"/>
  </si>
  <si>
    <t>비밀게시판 상세(삭제)</t>
    <phoneticPr fontId="1" type="noConversion"/>
  </si>
  <si>
    <t>QNA상세(삭제)</t>
    <phoneticPr fontId="1" type="noConversion"/>
  </si>
  <si>
    <t>FAQ상세(삭제)</t>
    <phoneticPr fontId="1" type="noConversion"/>
  </si>
  <si>
    <t>게시판</t>
    <phoneticPr fontId="1" type="noConversion"/>
  </si>
  <si>
    <t>하위에 메뉴등록시 바로 보이게 개발</t>
    <phoneticPr fontId="1" type="noConversion"/>
  </si>
  <si>
    <t>설문조사관리</t>
    <phoneticPr fontId="1" type="noConversion"/>
  </si>
  <si>
    <t>설문조사등록</t>
    <phoneticPr fontId="1" type="noConversion"/>
  </si>
  <si>
    <t>설문조사개요등록</t>
    <phoneticPr fontId="1" type="noConversion"/>
  </si>
  <si>
    <t>설문조사문항등록</t>
    <phoneticPr fontId="1" type="noConversion"/>
  </si>
  <si>
    <t>URL을 text형태로 복사할수있도록 제공하여 게시판에
설문여부를 등록할수있도록 제공
설문제약사항은 custom하게 변경할수 있도록 만들것.</t>
    <phoneticPr fontId="1" type="noConversion"/>
  </si>
  <si>
    <t>갤러리 등록</t>
    <phoneticPr fontId="1" type="noConversion"/>
  </si>
  <si>
    <t>갤러리 상세(삭제)</t>
    <phoneticPr fontId="1" type="noConversion"/>
  </si>
  <si>
    <t>갤러리 수정</t>
    <phoneticPr fontId="1" type="noConversion"/>
  </si>
  <si>
    <t>설문조사문항수정</t>
    <phoneticPr fontId="1" type="noConversion"/>
  </si>
  <si>
    <t>운영자 지원</t>
    <phoneticPr fontId="1" type="noConversion"/>
  </si>
  <si>
    <t>/ma/system/menual/list.do</t>
    <phoneticPr fontId="1" type="noConversion"/>
  </si>
  <si>
    <t xml:space="preserve">목록 </t>
    <phoneticPr fontId="1" type="noConversion"/>
  </si>
  <si>
    <t>/ma/system/boardtype/regist.do</t>
    <phoneticPr fontId="1" type="noConversion"/>
  </si>
  <si>
    <t>/ma/system/menual/regist.do</t>
    <phoneticPr fontId="1" type="noConversion"/>
  </si>
  <si>
    <t>/ma/system/menual/view.do</t>
    <phoneticPr fontId="1" type="noConversion"/>
  </si>
  <si>
    <t>/ma/system/menual/update.do</t>
    <phoneticPr fontId="1" type="noConversion"/>
  </si>
  <si>
    <t>/ma/system/log/login.do</t>
    <phoneticPr fontId="1" type="noConversion"/>
  </si>
  <si>
    <t>/ma/system/log/lerror/list.do</t>
    <phoneticPr fontId="1" type="noConversion"/>
  </si>
  <si>
    <t>/ma/system/log/lerror/view.do</t>
    <phoneticPr fontId="1" type="noConversion"/>
  </si>
  <si>
    <t>/ma/system/log/action/view.do</t>
    <phoneticPr fontId="1" type="noConversion"/>
  </si>
  <si>
    <t>/ma/system/log/action/list.do</t>
    <phoneticPr fontId="1" type="noConversion"/>
  </si>
  <si>
    <t>/ma/usersupport/contTemplete/list.do</t>
    <phoneticPr fontId="1" type="noConversion"/>
  </si>
  <si>
    <t>/ma/usersupport/contTemplete/regist.do</t>
    <phoneticPr fontId="1" type="noConversion"/>
  </si>
  <si>
    <t>/ma/usersupport/contTemplete/view.do</t>
    <phoneticPr fontId="1" type="noConversion"/>
  </si>
  <si>
    <t>/ma/usersupport/contTemplete/update.do</t>
    <phoneticPr fontId="1" type="noConversion"/>
  </si>
  <si>
    <t>/ma/boardsample/faq/list.do</t>
    <phoneticPr fontId="1" type="noConversion"/>
  </si>
  <si>
    <t>/ma/boardsample/faq/regist.do</t>
    <phoneticPr fontId="1" type="noConversion"/>
  </si>
  <si>
    <t>/ma/boardsample/faq/view.do</t>
    <phoneticPr fontId="1" type="noConversion"/>
  </si>
  <si>
    <t>/ma/boardsample/qna/view.do</t>
    <phoneticPr fontId="1" type="noConversion"/>
  </si>
  <si>
    <t>/ma/boardsample/qna/list.do</t>
    <phoneticPr fontId="1" type="noConversion"/>
  </si>
  <si>
    <t>/ma/boardsample/faq/update.do</t>
    <phoneticPr fontId="1" type="noConversion"/>
  </si>
  <si>
    <t>/ma/boardsample/qna/regist.do</t>
    <phoneticPr fontId="1" type="noConversion"/>
  </si>
  <si>
    <t>/ma/boardsample/qna/update.do</t>
    <phoneticPr fontId="1" type="noConversion"/>
  </si>
  <si>
    <t>/ma/boardsample/scret/list.do</t>
    <phoneticPr fontId="1" type="noConversion"/>
  </si>
  <si>
    <t>/ma/boardsample/scret/view.do</t>
    <phoneticPr fontId="1" type="noConversion"/>
  </si>
  <si>
    <t>/ma/boardsample/scret/regist.do</t>
    <phoneticPr fontId="1" type="noConversion"/>
  </si>
  <si>
    <t>/ma/boardsample/scret/update.do</t>
    <phoneticPr fontId="1" type="noConversion"/>
  </si>
  <si>
    <t>/ma/boardsample/gallery/list.do</t>
    <phoneticPr fontId="1" type="noConversion"/>
  </si>
  <si>
    <t>/ma/boardsample/gallery/regist.do</t>
    <phoneticPr fontId="1" type="noConversion"/>
  </si>
  <si>
    <t>/ma/boardsample/gallery/view.do</t>
    <phoneticPr fontId="1" type="noConversion"/>
  </si>
  <si>
    <t>/ma/boardsample/gallery/update.do</t>
    <phoneticPr fontId="1" type="noConversion"/>
  </si>
  <si>
    <t>/ma/baordsample/srvy/list.do</t>
    <phoneticPr fontId="1" type="noConversion"/>
  </si>
  <si>
    <t>/ma/baordsample/srvy/regist.do</t>
    <phoneticPr fontId="1" type="noConversion"/>
  </si>
  <si>
    <t>/ma/baordsample/srvy/itemregist.do</t>
    <phoneticPr fontId="1" type="noConversion"/>
  </si>
  <si>
    <t>/ma/baordsample/srvy/itemrupdate.do</t>
    <phoneticPr fontId="1" type="noConversion"/>
  </si>
  <si>
    <t>/ma/statistics/login.do</t>
    <phoneticPr fontId="1" type="noConversion"/>
  </si>
  <si>
    <t>/ma/statistics/period.do</t>
    <phoneticPr fontId="1" type="noConversion"/>
  </si>
  <si>
    <t>/ma/statistics/menu.do</t>
    <phoneticPr fontId="1" type="noConversion"/>
  </si>
  <si>
    <t>/ma/system/boardtype/regist</t>
    <phoneticPr fontId="1" type="noConversion"/>
  </si>
  <si>
    <t>/ma/system/menual/list</t>
    <phoneticPr fontId="1" type="noConversion"/>
  </si>
  <si>
    <t>/ma/system/menual/regist</t>
    <phoneticPr fontId="1" type="noConversion"/>
  </si>
  <si>
    <t>/ma/system/menual/view</t>
    <phoneticPr fontId="1" type="noConversion"/>
  </si>
  <si>
    <t>/ma/system/menual/update</t>
    <phoneticPr fontId="1" type="noConversion"/>
  </si>
  <si>
    <t>/ma/system/log/login</t>
    <phoneticPr fontId="1" type="noConversion"/>
  </si>
  <si>
    <t>/ma/system/log/lerror/list</t>
    <phoneticPr fontId="1" type="noConversion"/>
  </si>
  <si>
    <t>/ma/system/log/lerror/view</t>
    <phoneticPr fontId="1" type="noConversion"/>
  </si>
  <si>
    <t>/ma/system/log/action/list</t>
    <phoneticPr fontId="1" type="noConversion"/>
  </si>
  <si>
    <t>/ma/system/log/action/view</t>
    <phoneticPr fontId="1" type="noConversion"/>
  </si>
  <si>
    <t>/ma/usersupport/contTemplete/list</t>
    <phoneticPr fontId="1" type="noConversion"/>
  </si>
  <si>
    <t>/ma/usersupport/contTemplete/regist</t>
    <phoneticPr fontId="1" type="noConversion"/>
  </si>
  <si>
    <t>/ma/usersupport/contTemplete/view</t>
    <phoneticPr fontId="1" type="noConversion"/>
  </si>
  <si>
    <t>/ma/usersupport/contTemplete/update</t>
    <phoneticPr fontId="1" type="noConversion"/>
  </si>
  <si>
    <t>/ma/meta/term/list</t>
    <phoneticPr fontId="1" type="noConversion"/>
  </si>
  <si>
    <t>/ma/boardsample/faq/list</t>
    <phoneticPr fontId="1" type="noConversion"/>
  </si>
  <si>
    <t>/ma/boardsample/faq/regist</t>
    <phoneticPr fontId="1" type="noConversion"/>
  </si>
  <si>
    <t>/ma/boardsample/faq/view</t>
    <phoneticPr fontId="1" type="noConversion"/>
  </si>
  <si>
    <t>/ma/boardsample/faq/update</t>
    <phoneticPr fontId="1" type="noConversion"/>
  </si>
  <si>
    <t>/ma/boardsample/qna/list</t>
    <phoneticPr fontId="1" type="noConversion"/>
  </si>
  <si>
    <t>/ma/boardsample/qna/regist</t>
    <phoneticPr fontId="1" type="noConversion"/>
  </si>
  <si>
    <t>/ma/boardsample/qna/view</t>
    <phoneticPr fontId="1" type="noConversion"/>
  </si>
  <si>
    <t>/ma/boardsample/qna/update</t>
    <phoneticPr fontId="1" type="noConversion"/>
  </si>
  <si>
    <t>/ma/boardsample/scret/list</t>
    <phoneticPr fontId="1" type="noConversion"/>
  </si>
  <si>
    <t>/ma/boardsample/scret/regist</t>
    <phoneticPr fontId="1" type="noConversion"/>
  </si>
  <si>
    <t>/ma/boardsample/scret/view</t>
    <phoneticPr fontId="1" type="noConversion"/>
  </si>
  <si>
    <t>/ma/boardsample/scret/update</t>
    <phoneticPr fontId="1" type="noConversion"/>
  </si>
  <si>
    <t>/ma/boardsample/gallery/list</t>
    <phoneticPr fontId="1" type="noConversion"/>
  </si>
  <si>
    <t>/ma/boardsample/gallery/regist</t>
    <phoneticPr fontId="1" type="noConversion"/>
  </si>
  <si>
    <t>/ma/boardsample/gallery/view</t>
    <phoneticPr fontId="1" type="noConversion"/>
  </si>
  <si>
    <t>/ma/boardsample/gallery/update</t>
    <phoneticPr fontId="1" type="noConversion"/>
  </si>
  <si>
    <t>/ma/baordsample/srvy/list</t>
    <phoneticPr fontId="1" type="noConversion"/>
  </si>
  <si>
    <t>/ma/baordsample/srvy/regist</t>
    <phoneticPr fontId="1" type="noConversion"/>
  </si>
  <si>
    <t>/ma/baordsample/srvy/itemregist</t>
    <phoneticPr fontId="1" type="noConversion"/>
  </si>
  <si>
    <t>/ma/baordsample/srvy/itemrupdate</t>
    <phoneticPr fontId="1" type="noConversion"/>
  </si>
  <si>
    <t>/ma/statistics/login</t>
    <phoneticPr fontId="1" type="noConversion"/>
  </si>
  <si>
    <t>/ma/statistics/period</t>
    <phoneticPr fontId="1" type="noConversion"/>
  </si>
  <si>
    <t>/ma/statistics/menu</t>
    <phoneticPr fontId="1" type="noConversion"/>
  </si>
  <si>
    <t>알림마당등록</t>
    <phoneticPr fontId="1" type="noConversion"/>
  </si>
  <si>
    <t>알림마당상세(삭제)</t>
    <phoneticPr fontId="1" type="noConversion"/>
  </si>
  <si>
    <t>알림마당수정</t>
    <phoneticPr fontId="1" type="noConversion"/>
  </si>
  <si>
    <t>/ma/boardsample/normal/list.do</t>
    <phoneticPr fontId="1" type="noConversion"/>
  </si>
  <si>
    <t>공지사항등록</t>
    <phoneticPr fontId="1" type="noConversion"/>
  </si>
  <si>
    <t>공지사항상세(삭제)</t>
    <phoneticPr fontId="1" type="noConversion"/>
  </si>
  <si>
    <t>공지사항수정</t>
    <phoneticPr fontId="1" type="noConversion"/>
  </si>
  <si>
    <t>/ma/boardsample/normal/regist.do</t>
    <phoneticPr fontId="1" type="noConversion"/>
  </si>
  <si>
    <t>/ma/boardsample/normal/view.do</t>
    <phoneticPr fontId="1" type="noConversion"/>
  </si>
  <si>
    <t>/ma/boardsample/normal/update.do</t>
    <phoneticPr fontId="1" type="noConversion"/>
  </si>
  <si>
    <t>/ma/boardsample/notice/update.do</t>
    <phoneticPr fontId="1" type="noConversion"/>
  </si>
  <si>
    <t>/ma/boardsample/notice/regist.do</t>
    <phoneticPr fontId="1" type="noConversion"/>
  </si>
  <si>
    <t>/ma/boardsample/notice/view.do</t>
    <phoneticPr fontId="1" type="noConversion"/>
  </si>
  <si>
    <t>/ma/boardsample/notice/list.do</t>
    <phoneticPr fontId="1" type="noConversion"/>
  </si>
  <si>
    <t>/ma/boardsample/normal/list</t>
    <phoneticPr fontId="1" type="noConversion"/>
  </si>
  <si>
    <t>/ma/boardsample/normal/regist</t>
    <phoneticPr fontId="1" type="noConversion"/>
  </si>
  <si>
    <t>/ma/boardsample/normal/view</t>
    <phoneticPr fontId="1" type="noConversion"/>
  </si>
  <si>
    <t>/ma/boardsample/normal/update</t>
    <phoneticPr fontId="1" type="noConversion"/>
  </si>
  <si>
    <t>/ma/boardsample/notice/list</t>
    <phoneticPr fontId="1" type="noConversion"/>
  </si>
  <si>
    <t>/ma/boardsample/notice/regist</t>
    <phoneticPr fontId="1" type="noConversion"/>
  </si>
  <si>
    <t>/ma/boardsample/notice/view</t>
    <phoneticPr fontId="1" type="noConversion"/>
  </si>
  <si>
    <t>/ma/boardsample/notice/update</t>
    <phoneticPr fontId="1" type="noConversion"/>
  </si>
  <si>
    <t>{}</t>
    <phoneticPr fontId="1" type="noConversion"/>
  </si>
  <si>
    <t>{"testKey1":"testVal1", "testKey2":"testVal2"}</t>
    <phoneticPr fontId="1" type="noConversion"/>
  </si>
  <si>
    <t>MENU_CSS</t>
    <phoneticPr fontId="1" type="noConversion"/>
  </si>
  <si>
    <t>메뉴CSS 클래스</t>
    <phoneticPr fontId="1" type="noConversion"/>
  </si>
  <si>
    <t>i01</t>
    <phoneticPr fontId="1" type="noConversion"/>
  </si>
  <si>
    <t>i02</t>
    <phoneticPr fontId="1" type="noConversion"/>
  </si>
  <si>
    <t>i03</t>
    <phoneticPr fontId="1" type="noConversion"/>
  </si>
  <si>
    <t>i04</t>
    <phoneticPr fontId="1" type="noConversion"/>
  </si>
  <si>
    <t>i05</t>
    <phoneticPr fontId="1" type="noConversion"/>
  </si>
  <si>
    <t>i06</t>
    <phoneticPr fontId="1" type="noConversion"/>
  </si>
  <si>
    <t>COM_USE_YN</t>
    <phoneticPr fontId="1" type="noConversion"/>
  </si>
  <si>
    <t>사용</t>
    <phoneticPr fontId="1" type="noConversion"/>
  </si>
  <si>
    <t>미사용</t>
    <phoneticPr fontId="1" type="noConversion"/>
  </si>
  <si>
    <t>공용 사용여부</t>
    <phoneticPr fontId="1" type="noConversion"/>
  </si>
  <si>
    <t>CD_NM</t>
    <phoneticPr fontId="1" type="noConversion"/>
  </si>
  <si>
    <t>공통코드명</t>
    <phoneticPr fontId="1" type="noConversion"/>
  </si>
  <si>
    <t>INSERT INTO STB_B_CD_MNG (COM_CD, UPP_COM_CD,CD_NM,  SORT_NO, CD_COMMENT,FILTER_1,FILTER_2,FILTER_3,FILTER_4,FILTER_5,FILTER_6,FILTER_7,FILTER_8,FILTER_9,FILTER_10,USE_YN, IS_DEL_ABLE ) VALUES ('ROOT','','공통코드 ROOT','10','공통코드 ROOT','','','','','','','','','','','Y','N');</t>
  </si>
  <si>
    <t>INSERT INTO STB_B_CD_MNG (COM_CD, UPP_COM_CD,CD_NM,  SORT_NO, CD_COMMENT,FILTER_1,FILTER_2,FILTER_3,FILTER_4,FILTER_5,FILTER_6,FILTER_7,FILTER_8,FILTER_9,FILTER_10,USE_YN, IS_DEL_ABLE ) VALUES ('AUTH_DIV','ROOT','권한구분','10','권한구분','','','','','','','','','','','Y','N');</t>
  </si>
  <si>
    <t>INSERT INTO STB_B_CD_MNG (COM_CD, UPP_COM_CD,CD_NM,  SORT_NO, CD_COMMENT,FILTER_1,FILTER_2,FILTER_3,FILTER_4,FILTER_5,FILTER_6,FILTER_7,FILTER_8,FILTER_9,FILTER_10,USE_YN, IS_DEL_ABLE ) VALUES ('MA','AUTH_DIV','관리자','10','관리자','','','','','','','','','','','Y','N');</t>
  </si>
  <si>
    <t>INSERT INTO STB_B_CD_MNG (COM_CD, UPP_COM_CD,CD_NM,  SORT_NO, CD_COMMENT,FILTER_1,FILTER_2,FILTER_3,FILTER_4,FILTER_5,FILTER_6,FILTER_7,FILTER_8,FILTER_9,FILTER_10,USE_YN, IS_DEL_ABLE ) VALUES ('FT','AUTH_DIV','사용자','20','사용자','','','','','','','','','','','Y','N');</t>
  </si>
  <si>
    <t>INSERT INTO STB_B_CD_MNG (COM_CD, UPP_COM_CD,CD_NM,  SORT_NO, CD_COMMENT,FILTER_1,FILTER_2,FILTER_3,FILTER_4,FILTER_5,FILTER_6,FILTER_7,FILTER_8,FILTER_9,FILTER_10,USE_YN, IS_DEL_ABLE ) VALUES ('JOIN_DIV','ROOT','회원가입경로구분','20','회원가입경로구분','','','','','','','','','','','Y','N');</t>
  </si>
  <si>
    <t>INSERT INTO STB_B_CD_MNG (COM_CD, UPP_COM_CD,CD_NM,  SORT_NO, CD_COMMENT,FILTER_1,FILTER_2,FILTER_3,FILTER_4,FILTER_5,FILTER_6,FILTER_7,FILTER_8,FILTER_9,FILTER_10,USE_YN, IS_DEL_ABLE ) VALUES ('INITIALIZE','JOIN_DIV','초기화시점등록','10','초기화시점등록','','','','','','','','','','','Y','N');</t>
  </si>
  <si>
    <t>INSERT INTO STB_B_CD_MNG (COM_CD, UPP_COM_CD,CD_NM,  SORT_NO, CD_COMMENT,FILTER_1,FILTER_2,FILTER_3,FILTER_4,FILTER_5,FILTER_6,FILTER_7,FILTER_8,FILTER_9,FILTER_10,USE_YN, IS_DEL_ABLE ) VALUES ('USER_JOIN','JOIN_DIV','사용자직접가입','20','사용자직접가입','','','','','','','','','','','Y','N');</t>
  </si>
  <si>
    <t>INSERT INTO STB_B_CD_MNG (COM_CD, UPP_COM_CD,CD_NM,  SORT_NO, CD_COMMENT,FILTER_1,FILTER_2,FILTER_3,FILTER_4,FILTER_5,FILTER_6,FILTER_7,FILTER_8,FILTER_9,FILTER_10,USE_YN, IS_DEL_ABLE ) VALUES ('ADMIN_JOIN','JOIN_DIV','관리자직권등록','30','관리자직권등록','','','','','','','','','','','Y','N');</t>
  </si>
  <si>
    <t>INSERT INTO STB_B_CD_MNG (COM_CD, UPP_COM_CD,CD_NM,  SORT_NO, CD_COMMENT,FILTER_1,FILTER_2,FILTER_3,FILTER_4,FILTER_5,FILTER_6,FILTER_7,FILTER_8,FILTER_9,FILTER_10,USE_YN, IS_DEL_ABLE ) VALUES ('ENC_ALGORITHM','ROOT','암호화 알고리즘','30','암호화 알고리즘','','','','','','','','','','','Y','N');</t>
  </si>
  <si>
    <t>INSERT INTO STB_B_CD_MNG (COM_CD, UPP_COM_CD,CD_NM,  SORT_NO, CD_COMMENT,FILTER_1,FILTER_2,FILTER_3,FILTER_4,FILTER_5,FILTER_6,FILTER_7,FILTER_8,FILTER_9,FILTER_10,USE_YN, IS_DEL_ABLE ) VALUES ('COM_USE_YN','ROOT','공용 사용여부','40','공용 사용여부','','','','','','','','','','','Y','N');</t>
  </si>
  <si>
    <t>INSERT INTO STB_B_CD_MNG (COM_CD, UPP_COM_CD,CD_NM,  SORT_NO, CD_COMMENT,FILTER_1,FILTER_2,FILTER_3,FILTER_4,FILTER_5,FILTER_6,FILTER_7,FILTER_8,FILTER_9,FILTER_10,USE_YN, IS_DEL_ABLE ) VALUES ('Y','COM_USE_YN','사용','10','사용','','','','','','','','','','','Y','N');</t>
  </si>
  <si>
    <t>INSERT INTO STB_B_CD_MNG (COM_CD, UPP_COM_CD,CD_NM,  SORT_NO, CD_COMMENT,FILTER_1,FILTER_2,FILTER_3,FILTER_4,FILTER_5,FILTER_6,FILTER_7,FILTER_8,FILTER_9,FILTER_10,USE_YN, IS_DEL_ABLE ) VALUES ('N','COM_USE_YN','미사용','20','미사용','','','','','','','','','','','Y','N');</t>
  </si>
  <si>
    <t>INSERT INTO STB_B_CD_MNG (COM_CD, UPP_COM_CD,CD_NM,  SORT_NO, CD_COMMENT,FILTER_1,FILTER_2,FILTER_3,FILTER_4,FILTER_5,FILTER_6,FILTER_7,FILTER_8,FILTER_9,FILTER_10,USE_YN, IS_DEL_ABLE ) VALUES ('SHA256','ENC_ALGORITHM','SHA256','10','SHA256 알고리즘','','','','','','','','','','','N','N');</t>
  </si>
  <si>
    <t>INSERT INTO STB_B_CD_MNG (COM_CD, UPP_COM_CD,CD_NM,  SORT_NO, CD_COMMENT,FILTER_1,FILTER_2,FILTER_3,FILTER_4,FILTER_5,FILTER_6,FILTER_7,FILTER_8,FILTER_9,FILTER_10,USE_YN, IS_DEL_ABLE ) VALUES ('SHA512','ENC_ALGORITHM','SHA512','20','SHA512 알고리즘','','','','','','','','','','','Y','N');</t>
  </si>
  <si>
    <t>INSERT INTO STB_B_CD_MNG (COM_CD, UPP_COM_CD,CD_NM,  SORT_NO, CD_COMMENT,FILTER_1,FILTER_2,FILTER_3,FILTER_4,FILTER_5,FILTER_6,FILTER_7,FILTER_8,FILTER_9,FILTER_10,USE_YN, IS_DEL_ABLE ) VALUES ('SHA1024','ENC_ALGORITHM','SHA1024','30','SHA1024 알고리즘','','','','','','','','','','','Y','N');</t>
  </si>
  <si>
    <t>INSERT INTO STB_B_CD_MNG (COM_CD, UPP_COM_CD,CD_NM,  SORT_NO, CD_COMMENT,FILTER_1,FILTER_2,FILTER_3,FILTER_4,FILTER_5,FILTER_6,FILTER_7,FILTER_8,FILTER_9,FILTER_10,USE_YN, IS_DEL_ABLE ) VALUES ('RSA','ENC_ALGORITHM','RSA','40','RSA 알고리즘','','','','','','','','','','','Y','N');</t>
  </si>
  <si>
    <t>INSERT INTO STB_B_CD_MNG (COM_CD, UPP_COM_CD,CD_NM,  SORT_NO, CD_COMMENT,FILTER_1,FILTER_2,FILTER_3,FILTER_4,FILTER_5,FILTER_6,FILTER_7,FILTER_8,FILTER_9,FILTER_10,USE_YN, IS_DEL_ABLE ) VALUES ('MD5','ENC_ALGORITHM','MD5','50','MD5알고리즘','','','','','','','','','','','N','N');</t>
  </si>
  <si>
    <t>03</t>
    <phoneticPr fontId="1" type="noConversion"/>
  </si>
  <si>
    <t>04</t>
    <phoneticPr fontId="1" type="noConversion"/>
  </si>
  <si>
    <t>05</t>
    <phoneticPr fontId="1" type="noConversion"/>
  </si>
  <si>
    <t>08</t>
    <phoneticPr fontId="1" type="noConversion"/>
  </si>
  <si>
    <t>10</t>
    <phoneticPr fontId="1" type="noConversion"/>
  </si>
  <si>
    <t>3년</t>
    <phoneticPr fontId="1" type="noConversion"/>
  </si>
  <si>
    <t>4년</t>
    <phoneticPr fontId="1" type="noConversion"/>
  </si>
  <si>
    <t>5년</t>
    <phoneticPr fontId="1" type="noConversion"/>
  </si>
  <si>
    <t>8년</t>
    <phoneticPr fontId="1" type="noConversion"/>
  </si>
  <si>
    <t>10년</t>
    <phoneticPr fontId="1" type="noConversion"/>
  </si>
  <si>
    <t>탈퇴계정 보유기간</t>
    <phoneticPr fontId="1" type="noConversion"/>
  </si>
  <si>
    <t>INSERT INTO STB_B_CD_MNG (COM_CD, UPP_COM_CD,CD_NM,  SORT_NO, CD_COMMENT,FILTER_1,FILTER_2,FILTER_3,FILTER_4,FILTER_5,FILTER_6,FILTER_7,FILTER_8,FILTER_9,FILTER_10,USE_YN, IS_DEL_ABLE ) VALUES ('03','PSSN_PRD_CD','3년','10','3년','','','','','','','','','','','Y','N');</t>
  </si>
  <si>
    <t>INSERT INTO STB_B_CD_MNG (COM_CD, UPP_COM_CD,CD_NM,  SORT_NO, CD_COMMENT,FILTER_1,FILTER_2,FILTER_3,FILTER_4,FILTER_5,FILTER_6,FILTER_7,FILTER_8,FILTER_9,FILTER_10,USE_YN, IS_DEL_ABLE ) VALUES ('04','PSSN_PRD_CD','4년','20','4년','','','','','','','','','','','Y','N');</t>
  </si>
  <si>
    <t>INSERT INTO STB_B_CD_MNG (COM_CD, UPP_COM_CD,CD_NM,  SORT_NO, CD_COMMENT,FILTER_1,FILTER_2,FILTER_3,FILTER_4,FILTER_5,FILTER_6,FILTER_7,FILTER_8,FILTER_9,FILTER_10,USE_YN, IS_DEL_ABLE ) VALUES ('05','PSSN_PRD_CD','5년','30','5년','','','','','','','','','','','Y','N');</t>
  </si>
  <si>
    <t>INSERT INTO STB_B_CD_MNG (COM_CD, UPP_COM_CD,CD_NM,  SORT_NO, CD_COMMENT,FILTER_1,FILTER_2,FILTER_3,FILTER_4,FILTER_5,FILTER_6,FILTER_7,FILTER_8,FILTER_9,FILTER_10,USE_YN, IS_DEL_ABLE ) VALUES ('08','PSSN_PRD_CD','8년','40','8년','','','','','','','','','','','Y','N');</t>
  </si>
  <si>
    <t>INSERT INTO STB_B_CD_MNG (COM_CD, UPP_COM_CD,CD_NM,  SORT_NO, CD_COMMENT,FILTER_1,FILTER_2,FILTER_3,FILTER_4,FILTER_5,FILTER_6,FILTER_7,FILTER_8,FILTER_9,FILTER_10,USE_YN, IS_DEL_ABLE ) VALUES ('10','PSSN_PRD_CD','10년','50','10년','','','','','','','','','','','Y','N');</t>
  </si>
  <si>
    <t>INSERT INTO STB_B_CD_MNG (COM_CD, UPP_COM_CD,CD_NM,  SORT_NO, CD_COMMENT,FILTER_1,FILTER_2,FILTER_3,FILTER_4,FILTER_5,FILTER_6,FILTER_7,FILTER_8,FILTER_9,FILTER_10,USE_YN, IS_DEL_ABLE ) VALUES ('PSSN_PRD_CD','ROOT','탈퇴계정 보유기간','50','탈퇴계정 보유기간','','','','','','','','','','','Y','N');</t>
  </si>
  <si>
    <t>파일저장 구조구분</t>
    <phoneticPr fontId="1" type="noConversion"/>
  </si>
  <si>
    <t>FILE_SAVE_DIV_CD</t>
    <phoneticPr fontId="1" type="noConversion"/>
  </si>
  <si>
    <t>SYSTEM</t>
    <phoneticPr fontId="1" type="noConversion"/>
  </si>
  <si>
    <t>System</t>
    <phoneticPr fontId="1" type="noConversion"/>
  </si>
  <si>
    <t>Was 저장</t>
    <phoneticPr fontId="1" type="noConversion"/>
  </si>
  <si>
    <t>파일서버 저장</t>
    <phoneticPr fontId="1" type="noConversion"/>
  </si>
  <si>
    <t>INSERT INTO STB_B_CD_MNG (COM_CD, UPP_COM_CD,CD_NM,  SORT_NO, CD_COMMENT,FILTER_1,FILTER_2,FILTER_3,FILTER_4,FILTER_5,FILTER_6,FILTER_7,FILTER_8,FILTER_9,FILTER_10,USE_YN, IS_DEL_ABLE ) VALUES ('FILE_SAVE_DIV_CD','ROOT','파일저장 구조구분','60','파일저장 구조구분','','','','','','','','','','','Y','N');</t>
  </si>
  <si>
    <t>INSERT INTO STB_B_CD_MNG (COM_CD, UPP_COM_CD,CD_NM,  SORT_NO, CD_COMMENT,FILTER_1,FILTER_2,FILTER_3,FILTER_4,FILTER_5,FILTER_6,FILTER_7,FILTER_8,FILTER_9,FILTER_10,USE_YN, IS_DEL_ABLE ) VALUES ('SYSTEM','FILE_SAVE_DIV_CD','System','10','Was 저장','','','','','','','','','','','Y','N');</t>
  </si>
  <si>
    <t>INSERT INTO STB_B_CD_MNG (COM_CD, UPP_COM_CD,CD_NM,  SORT_NO, CD_COMMENT,FILTER_1,FILTER_2,FILTER_3,FILTER_4,FILTER_5,FILTER_6,FILTER_7,FILTER_8,FILTER_9,FILTER_10,USE_YN, IS_DEL_ABLE ) VALUES ('FTP','FILE_SAVE_DIV_CD','FTP','20','파일서버 저장','','','','','','','','','','','Y','N');</t>
  </si>
  <si>
    <t>/ma/system/user/list.do</t>
    <phoneticPr fontId="1" type="noConversion"/>
  </si>
  <si>
    <t>/ma/system/user/list</t>
    <phoneticPr fontId="1" type="noConversion"/>
  </si>
  <si>
    <t>삭제가능</t>
    <phoneticPr fontId="1" type="noConversion"/>
  </si>
  <si>
    <t>삭제불가</t>
    <phoneticPr fontId="1" type="noConversion"/>
  </si>
  <si>
    <t>데이터 삭제가능여부</t>
    <phoneticPr fontId="1" type="noConversion"/>
  </si>
  <si>
    <t>INSERT INTO STB_B_CD_MNG (COM_CD, UPP_COM_CD,CD_NM,  SORT_NO, CD_COMMENT,FILTER_1,FILTER_2,FILTER_3,FILTER_4,FILTER_5,FILTER_6,FILTER_7,FILTER_8,FILTER_9,FILTER_10,USE_YN, IS_DEL_ABLE ) VALUES ('IS_DEL_ABLE','ROOT','데이터 삭제가능여부','70','데이터 삭제가능여부','','','','','','','','','','','Y','N');</t>
  </si>
  <si>
    <t>INSERT INTO STB_B_CD_MNG (COM_CD, UPP_COM_CD,CD_NM,  SORT_NO, CD_COMMENT,FILTER_1,FILTER_2,FILTER_3,FILTER_4,FILTER_5,FILTER_6,FILTER_7,FILTER_8,FILTER_9,FILTER_10,USE_YN, IS_DEL_ABLE ) VALUES ('Y','IS_DEL_ABLE','삭제가능','10','삭제가능','','','','','','','','','','','Y','N');</t>
  </si>
  <si>
    <t>INSERT INTO STB_B_CD_MNG (COM_CD, UPP_COM_CD,CD_NM,  SORT_NO, CD_COMMENT,FILTER_1,FILTER_2,FILTER_3,FILTER_4,FILTER_5,FILTER_6,FILTER_7,FILTER_8,FILTER_9,FILTER_10,USE_YN, IS_DEL_ABLE ) VALUES ('N','IS_DEL_ABLE','삭제불가','20','삭제불가','','','','','','','','','','','Y','N');</t>
  </si>
  <si>
    <t>AdminRegist</t>
    <phoneticPr fontId="1" type="noConversion"/>
  </si>
  <si>
    <t>Initialize</t>
    <phoneticPr fontId="1" type="noConversion"/>
  </si>
  <si>
    <t>UserJoin</t>
    <phoneticPr fontId="1" type="noConversion"/>
  </si>
  <si>
    <t>TM</t>
    <phoneticPr fontId="1" type="noConversion"/>
  </si>
  <si>
    <t>템플릿관리</t>
  </si>
  <si>
    <t>TMCL</t>
  </si>
  <si>
    <t>TMTP</t>
  </si>
  <si>
    <t>템플릿 구분</t>
    <phoneticPr fontId="1" type="noConversion"/>
  </si>
  <si>
    <t>템플릿 타입</t>
  </si>
  <si>
    <t>TMCL01</t>
  </si>
  <si>
    <t>TMCL02</t>
  </si>
  <si>
    <t>통합 템플릿</t>
  </si>
  <si>
    <t>개별 템플릿</t>
  </si>
  <si>
    <t>TMTP01</t>
  </si>
  <si>
    <t>TMTP02</t>
    <phoneticPr fontId="1" type="noConversion"/>
  </si>
  <si>
    <t>TMTP03</t>
    <phoneticPr fontId="1" type="noConversion"/>
  </si>
  <si>
    <t>TMTP04</t>
    <phoneticPr fontId="1" type="noConversion"/>
  </si>
  <si>
    <t>인사말</t>
  </si>
  <si>
    <t>정관</t>
  </si>
  <si>
    <t>오시는길</t>
  </si>
  <si>
    <t>TMCL0101</t>
  </si>
  <si>
    <t>TMCL0102</t>
    <phoneticPr fontId="1" type="noConversion"/>
  </si>
  <si>
    <t>TMCL0103</t>
    <phoneticPr fontId="1" type="noConversion"/>
  </si>
  <si>
    <t>TMCL0104</t>
    <phoneticPr fontId="1" type="noConversion"/>
  </si>
  <si>
    <t>TMCL0201</t>
  </si>
  <si>
    <t>TMCL0202</t>
    <phoneticPr fontId="1" type="noConversion"/>
  </si>
  <si>
    <t>TMCL0203</t>
    <phoneticPr fontId="1" type="noConversion"/>
  </si>
  <si>
    <t>TMCL0204</t>
    <phoneticPr fontId="1" type="noConversion"/>
  </si>
  <si>
    <t>제목</t>
  </si>
  <si>
    <t>주석</t>
  </si>
  <si>
    <t>본문</t>
  </si>
  <si>
    <t>테이블</t>
  </si>
  <si>
    <t>LG</t>
  </si>
  <si>
    <t>로고항목</t>
  </si>
  <si>
    <t>LGFC</t>
  </si>
  <si>
    <t>LGHD</t>
  </si>
  <si>
    <t>LGLN</t>
  </si>
  <si>
    <t>파비콘</t>
  </si>
  <si>
    <t>헤더</t>
  </si>
  <si>
    <t>로그인</t>
  </si>
  <si>
    <t>MN</t>
  </si>
  <si>
    <t>매뉴얼관리</t>
  </si>
  <si>
    <t>MNTP</t>
  </si>
  <si>
    <t>유형구분</t>
  </si>
  <si>
    <t>MNTP01</t>
  </si>
  <si>
    <t>제목</t>
    <phoneticPr fontId="1" type="noConversion"/>
  </si>
  <si>
    <t>SE</t>
    <phoneticPr fontId="1" type="noConversion"/>
  </si>
  <si>
    <t>SEO</t>
  </si>
  <si>
    <t>SC</t>
  </si>
  <si>
    <t>SCCL</t>
  </si>
  <si>
    <t>SCTM</t>
  </si>
  <si>
    <t>일정구분코드</t>
  </si>
  <si>
    <t>일정시간코드</t>
  </si>
  <si>
    <t>SCCL01</t>
  </si>
  <si>
    <t>SCCL02</t>
    <phoneticPr fontId="1" type="noConversion"/>
  </si>
  <si>
    <t>SCCL03</t>
    <phoneticPr fontId="1" type="noConversion"/>
  </si>
  <si>
    <t>SCCL04</t>
    <phoneticPr fontId="1" type="noConversion"/>
  </si>
  <si>
    <t>개인업무</t>
  </si>
  <si>
    <t>부서업무</t>
  </si>
  <si>
    <t>회의</t>
  </si>
  <si>
    <t>경영진일정</t>
  </si>
  <si>
    <t>personal_work</t>
  </si>
  <si>
    <t>department_work</t>
  </si>
  <si>
    <t>meeting</t>
  </si>
  <si>
    <t>director_work</t>
  </si>
  <si>
    <t>AU</t>
  </si>
  <si>
    <t>권한영역</t>
    <phoneticPr fontId="1" type="noConversion"/>
  </si>
  <si>
    <t>AUMA</t>
  </si>
  <si>
    <t>AUFT</t>
  </si>
  <si>
    <t>관리자</t>
  </si>
  <si>
    <t>사용자</t>
  </si>
  <si>
    <t>SCCL05</t>
    <phoneticPr fontId="1" type="noConversion"/>
  </si>
  <si>
    <t>회사업무</t>
  </si>
  <si>
    <t>company_work</t>
  </si>
  <si>
    <t>ST</t>
    <phoneticPr fontId="1" type="noConversion"/>
  </si>
  <si>
    <t>표준미준수</t>
  </si>
  <si>
    <t>ST01</t>
  </si>
  <si>
    <t>ST02</t>
    <phoneticPr fontId="1" type="noConversion"/>
  </si>
  <si>
    <t>ST03</t>
    <phoneticPr fontId="1" type="noConversion"/>
  </si>
  <si>
    <t>미등록데이터</t>
  </si>
  <si>
    <t>컬럼한글명불일치</t>
  </si>
  <si>
    <t>기타</t>
  </si>
  <si>
    <t>PU</t>
  </si>
  <si>
    <t>팝업관리</t>
    <phoneticPr fontId="1" type="noConversion"/>
  </si>
  <si>
    <t>PUTG</t>
  </si>
  <si>
    <t>PUCL</t>
  </si>
  <si>
    <t>팝업대상코드</t>
  </si>
  <si>
    <t>팝업구분코드</t>
  </si>
  <si>
    <t>PUTG01</t>
  </si>
  <si>
    <t>PUTG02</t>
    <phoneticPr fontId="1" type="noConversion"/>
  </si>
  <si>
    <t>PUTG03</t>
    <phoneticPr fontId="1" type="noConversion"/>
  </si>
  <si>
    <t>새탭</t>
  </si>
  <si>
    <t>새창</t>
  </si>
  <si>
    <t>모달창</t>
  </si>
  <si>
    <t>INSERT INTO STB_B_CD_MNG (COM_CD, UPP_COM_CD,CD_NM,  SORT_NO, CD_COMMENT,FILTER_1,FILTER_2,FILTER_3,FILTER_4,FILTER_5,FILTER_6,FILTER_7,FILTER_8,FILTER_9,FILTER_10,USE_YN, IS_DEL_ABLE ) VALUES ('TM','ROOT','템플릿관리','80','템플릿관리','','','','','','','','','','','Y','Y');</t>
  </si>
  <si>
    <t>INSERT INTO STB_B_CD_MNG (COM_CD, UPP_COM_CD,CD_NM,  SORT_NO, CD_COMMENT,FILTER_1,FILTER_2,FILTER_3,FILTER_4,FILTER_5,FILTER_6,FILTER_7,FILTER_8,FILTER_9,FILTER_10,USE_YN, IS_DEL_ABLE ) VALUES ('TMCL','TM','템플릿 구분','10','템플릿 구분','','','','','','','','','','','Y','Y');</t>
  </si>
  <si>
    <t>INSERT INTO STB_B_CD_MNG (COM_CD, UPP_COM_CD,CD_NM,  SORT_NO, CD_COMMENT,FILTER_1,FILTER_2,FILTER_3,FILTER_4,FILTER_5,FILTER_6,FILTER_7,FILTER_8,FILTER_9,FILTER_10,USE_YN, IS_DEL_ABLE ) VALUES ('TMTP','TM','템플릿 타입','20','템플릿 타입','','','','','','','','','','','Y','Y');</t>
  </si>
  <si>
    <t>INSERT INTO STB_B_CD_MNG (COM_CD, UPP_COM_CD,CD_NM,  SORT_NO, CD_COMMENT,FILTER_1,FILTER_2,FILTER_3,FILTER_4,FILTER_5,FILTER_6,FILTER_7,FILTER_8,FILTER_9,FILTER_10,USE_YN, IS_DEL_ABLE ) VALUES ('TMCL01','TMCL','통합 템플릿','10','통합 템플릿','','','','','','','','','','','Y','Y');</t>
  </si>
  <si>
    <t>INSERT INTO STB_B_CD_MNG (COM_CD, UPP_COM_CD,CD_NM,  SORT_NO, CD_COMMENT,FILTER_1,FILTER_2,FILTER_3,FILTER_4,FILTER_5,FILTER_6,FILTER_7,FILTER_8,FILTER_9,FILTER_10,USE_YN, IS_DEL_ABLE ) VALUES ('TMCL02','TMCL','개별 템플릿','20','개별 템플릿','','','','','','','','','','','Y','Y');</t>
  </si>
  <si>
    <t>INSERT INTO STB_B_CD_MNG (COM_CD, UPP_COM_CD,CD_NM,  SORT_NO, CD_COMMENT,FILTER_1,FILTER_2,FILTER_3,FILTER_4,FILTER_5,FILTER_6,FILTER_7,FILTER_8,FILTER_9,FILTER_10,USE_YN, IS_DEL_ABLE ) VALUES ('TMTP01','TMTP','인사말','10','인사말','','','','','','','','','','','Y','Y');</t>
  </si>
  <si>
    <t>INSERT INTO STB_B_CD_MNG (COM_CD, UPP_COM_CD,CD_NM,  SORT_NO, CD_COMMENT,FILTER_1,FILTER_2,FILTER_3,FILTER_4,FILTER_5,FILTER_6,FILTER_7,FILTER_8,FILTER_9,FILTER_10,USE_YN, IS_DEL_ABLE ) VALUES ('TMTP02','TMTP','연혁','20','연혁','','','','','','','','','','','Y','Y');</t>
  </si>
  <si>
    <t>INSERT INTO STB_B_CD_MNG (COM_CD, UPP_COM_CD,CD_NM,  SORT_NO, CD_COMMENT,FILTER_1,FILTER_2,FILTER_3,FILTER_4,FILTER_5,FILTER_6,FILTER_7,FILTER_8,FILTER_9,FILTER_10,USE_YN, IS_DEL_ABLE ) VALUES ('TMTP03','TMTP','정관','30','정관','','','','','','','','','','','Y','Y');</t>
  </si>
  <si>
    <t>INSERT INTO STB_B_CD_MNG (COM_CD, UPP_COM_CD,CD_NM,  SORT_NO, CD_COMMENT,FILTER_1,FILTER_2,FILTER_3,FILTER_4,FILTER_5,FILTER_6,FILTER_7,FILTER_8,FILTER_9,FILTER_10,USE_YN, IS_DEL_ABLE ) VALUES ('TMTP04','TMTP','오시는길','40','오시는길','','','','','','','','','','','Y','Y');</t>
  </si>
  <si>
    <t>INSERT INTO STB_B_CD_MNG (COM_CD, UPP_COM_CD,CD_NM,  SORT_NO, CD_COMMENT,FILTER_1,FILTER_2,FILTER_3,FILTER_4,FILTER_5,FILTER_6,FILTER_7,FILTER_8,FILTER_9,FILTER_10,USE_YN, IS_DEL_ABLE ) VALUES ('TMCL0101','TMCL01','인사말','10','인사말','','','','','','','','','','','Y','Y');</t>
  </si>
  <si>
    <t>INSERT INTO STB_B_CD_MNG (COM_CD, UPP_COM_CD,CD_NM,  SORT_NO, CD_COMMENT,FILTER_1,FILTER_2,FILTER_3,FILTER_4,FILTER_5,FILTER_6,FILTER_7,FILTER_8,FILTER_9,FILTER_10,USE_YN, IS_DEL_ABLE ) VALUES ('TMCL0102','TMCL01','연혁','20','연혁','','','','','','','','','','','Y','Y');</t>
  </si>
  <si>
    <t>INSERT INTO STB_B_CD_MNG (COM_CD, UPP_COM_CD,CD_NM,  SORT_NO, CD_COMMENT,FILTER_1,FILTER_2,FILTER_3,FILTER_4,FILTER_5,FILTER_6,FILTER_7,FILTER_8,FILTER_9,FILTER_10,USE_YN, IS_DEL_ABLE ) VALUES ('TMCL0103','TMCL01','정관','30','정관','','','','','','','','','','','Y','Y');</t>
  </si>
  <si>
    <t>INSERT INTO STB_B_CD_MNG (COM_CD, UPP_COM_CD,CD_NM,  SORT_NO, CD_COMMENT,FILTER_1,FILTER_2,FILTER_3,FILTER_4,FILTER_5,FILTER_6,FILTER_7,FILTER_8,FILTER_9,FILTER_10,USE_YN, IS_DEL_ABLE ) VALUES ('TMCL0104','TMCL01','오시는길','40','오시는길','','','','','','','','','','','Y','Y');</t>
  </si>
  <si>
    <t>INSERT INTO STB_B_CD_MNG (COM_CD, UPP_COM_CD,CD_NM,  SORT_NO, CD_COMMENT,FILTER_1,FILTER_2,FILTER_3,FILTER_4,FILTER_5,FILTER_6,FILTER_7,FILTER_8,FILTER_9,FILTER_10,USE_YN, IS_DEL_ABLE ) VALUES ('TMCL0201','TMCL02','제목','10','제목','','','','','','','','','','','Y','Y');</t>
  </si>
  <si>
    <t>INSERT INTO STB_B_CD_MNG (COM_CD, UPP_COM_CD,CD_NM,  SORT_NO, CD_COMMENT,FILTER_1,FILTER_2,FILTER_3,FILTER_4,FILTER_5,FILTER_6,FILTER_7,FILTER_8,FILTER_9,FILTER_10,USE_YN, IS_DEL_ABLE ) VALUES ('TMCL0202','TMCL02','주석','20','주석','','','','','','','','','','','Y','Y');</t>
  </si>
  <si>
    <t>INSERT INTO STB_B_CD_MNG (COM_CD, UPP_COM_CD,CD_NM,  SORT_NO, CD_COMMENT,FILTER_1,FILTER_2,FILTER_3,FILTER_4,FILTER_5,FILTER_6,FILTER_7,FILTER_8,FILTER_9,FILTER_10,USE_YN, IS_DEL_ABLE ) VALUES ('TMCL0203','TMCL02','본문','30','본문','','','','','','','','','','','Y','Y');</t>
  </si>
  <si>
    <t>INSERT INTO STB_B_CD_MNG (COM_CD, UPP_COM_CD,CD_NM,  SORT_NO, CD_COMMENT,FILTER_1,FILTER_2,FILTER_3,FILTER_4,FILTER_5,FILTER_6,FILTER_7,FILTER_8,FILTER_9,FILTER_10,USE_YN, IS_DEL_ABLE ) VALUES ('TMCL0204','TMCL02','테이블','40','테이블','','','','','','','','','','','Y','Y');</t>
  </si>
  <si>
    <t>INSERT INTO STB_B_CD_MNG (COM_CD, UPP_COM_CD,CD_NM,  SORT_NO, CD_COMMENT,FILTER_1,FILTER_2,FILTER_3,FILTER_4,FILTER_5,FILTER_6,FILTER_7,FILTER_8,FILTER_9,FILTER_10,USE_YN, IS_DEL_ABLE ) VALUES ('LG','ROOT','로고항목','90','로고항목','','','','','','','','','','','Y','Y');</t>
  </si>
  <si>
    <t>INSERT INTO STB_B_CD_MNG (COM_CD, UPP_COM_CD,CD_NM,  SORT_NO, CD_COMMENT,FILTER_1,FILTER_2,FILTER_3,FILTER_4,FILTER_5,FILTER_6,FILTER_7,FILTER_8,FILTER_9,FILTER_10,USE_YN, IS_DEL_ABLE ) VALUES ('LGFC','LG','파비콘','10','파비콘','','','','','','','','','','','Y','Y');</t>
  </si>
  <si>
    <t>INSERT INTO STB_B_CD_MNG (COM_CD, UPP_COM_CD,CD_NM,  SORT_NO, CD_COMMENT,FILTER_1,FILTER_2,FILTER_3,FILTER_4,FILTER_5,FILTER_6,FILTER_7,FILTER_8,FILTER_9,FILTER_10,USE_YN, IS_DEL_ABLE ) VALUES ('LGHD','LG','헤더','20','헤더','','','','','','','','','','','Y','Y');</t>
  </si>
  <si>
    <t>INSERT INTO STB_B_CD_MNG (COM_CD, UPP_COM_CD,CD_NM,  SORT_NO, CD_COMMENT,FILTER_1,FILTER_2,FILTER_3,FILTER_4,FILTER_5,FILTER_6,FILTER_7,FILTER_8,FILTER_9,FILTER_10,USE_YN, IS_DEL_ABLE ) VALUES ('LGLN','LG','로그인','30','로그인','','','','','','','','','','','Y','Y');</t>
  </si>
  <si>
    <t>INSERT INTO STB_B_CD_MNG (COM_CD, UPP_COM_CD,CD_NM,  SORT_NO, CD_COMMENT,FILTER_1,FILTER_2,FILTER_3,FILTER_4,FILTER_5,FILTER_6,FILTER_7,FILTER_8,FILTER_9,FILTER_10,USE_YN, IS_DEL_ABLE ) VALUES ('MN','ROOT','매뉴얼관리','100','매뉴얼관리','','','','','','','','','','','Y','Y');</t>
  </si>
  <si>
    <t>INSERT INTO STB_B_CD_MNG (COM_CD, UPP_COM_CD,CD_NM,  SORT_NO, CD_COMMENT,FILTER_1,FILTER_2,FILTER_3,FILTER_4,FILTER_5,FILTER_6,FILTER_7,FILTER_8,FILTER_9,FILTER_10,USE_YN, IS_DEL_ABLE ) VALUES ('MNTP','MN','유형구분','10','유형구분','','','','','','','','','','','Y','Y');</t>
  </si>
  <si>
    <t>INSERT INTO STB_B_CD_MNG (COM_CD, UPP_COM_CD,CD_NM,  SORT_NO, CD_COMMENT,FILTER_1,FILTER_2,FILTER_3,FILTER_4,FILTER_5,FILTER_6,FILTER_7,FILTER_8,FILTER_9,FILTER_10,USE_YN, IS_DEL_ABLE ) VALUES ('MNTP01','MNTP','제목','10','제목','','','','','','','','','','','Y','Y');</t>
  </si>
  <si>
    <t>INSERT INTO STB_B_CD_MNG (COM_CD, UPP_COM_CD,CD_NM,  SORT_NO, CD_COMMENT,FILTER_1,FILTER_2,FILTER_3,FILTER_4,FILTER_5,FILTER_6,FILTER_7,FILTER_8,FILTER_9,FILTER_10,USE_YN, IS_DEL_ABLE ) VALUES ('SE','ROOT','SEO','110','SEO','','','','','','','','','','','Y','Y');</t>
  </si>
  <si>
    <t>INSERT INTO STB_B_CD_MNG (COM_CD, UPP_COM_CD,CD_NM,  SORT_NO, CD_COMMENT,FILTER_1,FILTER_2,FILTER_3,FILTER_4,FILTER_5,FILTER_6,FILTER_7,FILTER_8,FILTER_9,FILTER_10,USE_YN, IS_DEL_ABLE ) VALUES ('SC','ROOT','일정관리','120','일정관리','','','','','','','','','','','Y','Y');</t>
  </si>
  <si>
    <t>INSERT INTO STB_B_CD_MNG (COM_CD, UPP_COM_CD,CD_NM,  SORT_NO, CD_COMMENT,FILTER_1,FILTER_2,FILTER_3,FILTER_4,FILTER_5,FILTER_6,FILTER_7,FILTER_8,FILTER_9,FILTER_10,USE_YN, IS_DEL_ABLE ) VALUES ('SCCL','SC','일정구분코드','10','일정구분코드','','','','','','','','','','','Y','Y');</t>
  </si>
  <si>
    <t>INSERT INTO STB_B_CD_MNG (COM_CD, UPP_COM_CD,CD_NM,  SORT_NO, CD_COMMENT,FILTER_1,FILTER_2,FILTER_3,FILTER_4,FILTER_5,FILTER_6,FILTER_7,FILTER_8,FILTER_9,FILTER_10,USE_YN, IS_DEL_ABLE ) VALUES ('SCTM','SC','일정시간코드','20','일정시간코드','','','','','','','','','','','Y','Y');</t>
  </si>
  <si>
    <t>INSERT INTO STB_B_CD_MNG (COM_CD, UPP_COM_CD,CD_NM,  SORT_NO, CD_COMMENT,FILTER_1,FILTER_2,FILTER_3,FILTER_4,FILTER_5,FILTER_6,FILTER_7,FILTER_8,FILTER_9,FILTER_10,USE_YN, IS_DEL_ABLE ) VALUES ('SCCL01','SCCL','개인업무','10','개인업무','personal_work','','','','','','','','','','Y','Y');</t>
  </si>
  <si>
    <t>INSERT INTO STB_B_CD_MNG (COM_CD, UPP_COM_CD,CD_NM,  SORT_NO, CD_COMMENT,FILTER_1,FILTER_2,FILTER_3,FILTER_4,FILTER_5,FILTER_6,FILTER_7,FILTER_8,FILTER_9,FILTER_10,USE_YN, IS_DEL_ABLE ) VALUES ('SCCL02','SCCL','부서업무','20','부서업무','department_work','','','','','','','','','','Y','Y');</t>
  </si>
  <si>
    <t>INSERT INTO STB_B_CD_MNG (COM_CD, UPP_COM_CD,CD_NM,  SORT_NO, CD_COMMENT,FILTER_1,FILTER_2,FILTER_3,FILTER_4,FILTER_5,FILTER_6,FILTER_7,FILTER_8,FILTER_9,FILTER_10,USE_YN, IS_DEL_ABLE ) VALUES ('SCCL03','SCCL','회의','30','회의','meeting','','','','','','','','','','Y','Y');</t>
  </si>
  <si>
    <t>INSERT INTO STB_B_CD_MNG (COM_CD, UPP_COM_CD,CD_NM,  SORT_NO, CD_COMMENT,FILTER_1,FILTER_2,FILTER_3,FILTER_4,FILTER_5,FILTER_6,FILTER_7,FILTER_8,FILTER_9,FILTER_10,USE_YN, IS_DEL_ABLE ) VALUES ('SCCL04','SCCL','경영진일정','40','경영진일정','director_work','','','','','','','','','','Y','Y');</t>
  </si>
  <si>
    <t>INSERT INTO STB_B_CD_MNG (COM_CD, UPP_COM_CD,CD_NM,  SORT_NO, CD_COMMENT,FILTER_1,FILTER_2,FILTER_3,FILTER_4,FILTER_5,FILTER_6,FILTER_7,FILTER_8,FILTER_9,FILTER_10,USE_YN, IS_DEL_ABLE ) VALUES ('SCCL05','SCCL','회사업무','50','회사업무','company_work','','','','','','','','','','Y','Y');</t>
  </si>
  <si>
    <t>INSERT INTO STB_B_CD_MNG (COM_CD, UPP_COM_CD,CD_NM,  SORT_NO, CD_COMMENT,FILTER_1,FILTER_2,FILTER_3,FILTER_4,FILTER_5,FILTER_6,FILTER_7,FILTER_8,FILTER_9,FILTER_10,USE_YN, IS_DEL_ABLE ) VALUES ('AU','ROOT','권한영역','130','권한영역','','','','','','','','','','','Y','Y');</t>
  </si>
  <si>
    <t>INSERT INTO STB_B_CD_MNG (COM_CD, UPP_COM_CD,CD_NM,  SORT_NO, CD_COMMENT,FILTER_1,FILTER_2,FILTER_3,FILTER_4,FILTER_5,FILTER_6,FILTER_7,FILTER_8,FILTER_9,FILTER_10,USE_YN, IS_DEL_ABLE ) VALUES ('AUMA','AU','관리자','10','관리자','','','','','','','','','','','Y','Y');</t>
  </si>
  <si>
    <t>INSERT INTO STB_B_CD_MNG (COM_CD, UPP_COM_CD,CD_NM,  SORT_NO, CD_COMMENT,FILTER_1,FILTER_2,FILTER_3,FILTER_4,FILTER_5,FILTER_6,FILTER_7,FILTER_8,FILTER_9,FILTER_10,USE_YN, IS_DEL_ABLE ) VALUES ('AUFT','AU','사용자','20','사용자','','','','','','','','','','','Y','Y');</t>
  </si>
  <si>
    <t>INSERT INTO STB_B_CD_MNG (COM_CD, UPP_COM_CD,CD_NM,  SORT_NO, CD_COMMENT,FILTER_1,FILTER_2,FILTER_3,FILTER_4,FILTER_5,FILTER_6,FILTER_7,FILTER_8,FILTER_9,FILTER_10,USE_YN, IS_DEL_ABLE ) VALUES ('ST','ROOT','표준미준수','140','표준미준수','','','','','','','','','','','Y','Y');</t>
  </si>
  <si>
    <t>INSERT INTO STB_B_CD_MNG (COM_CD, UPP_COM_CD,CD_NM,  SORT_NO, CD_COMMENT,FILTER_1,FILTER_2,FILTER_3,FILTER_4,FILTER_5,FILTER_6,FILTER_7,FILTER_8,FILTER_9,FILTER_10,USE_YN, IS_DEL_ABLE ) VALUES ('ST01','ST','미등록데이터','10','미등록데이터','','','','','','','','','','','Y','Y');</t>
  </si>
  <si>
    <t>INSERT INTO STB_B_CD_MNG (COM_CD, UPP_COM_CD,CD_NM,  SORT_NO, CD_COMMENT,FILTER_1,FILTER_2,FILTER_3,FILTER_4,FILTER_5,FILTER_6,FILTER_7,FILTER_8,FILTER_9,FILTER_10,USE_YN, IS_DEL_ABLE ) VALUES ('ST02','ST','컬럼한글명불일치','20','컬럼한글명불일치','','','','','','','','','','','Y','Y');</t>
  </si>
  <si>
    <t>INSERT INTO STB_B_CD_MNG (COM_CD, UPP_COM_CD,CD_NM,  SORT_NO, CD_COMMENT,FILTER_1,FILTER_2,FILTER_3,FILTER_4,FILTER_5,FILTER_6,FILTER_7,FILTER_8,FILTER_9,FILTER_10,USE_YN, IS_DEL_ABLE ) VALUES ('ST03','ST','기타','30','기타','','','','','','','','','','','Y','Y');</t>
  </si>
  <si>
    <t>INSERT INTO STB_B_CD_MNG (COM_CD, UPP_COM_CD,CD_NM,  SORT_NO, CD_COMMENT,FILTER_1,FILTER_2,FILTER_3,FILTER_4,FILTER_5,FILTER_6,FILTER_7,FILTER_8,FILTER_9,FILTER_10,USE_YN, IS_DEL_ABLE ) VALUES ('PU','ROOT','팝업관리','150','팝업관리','','','','','','','','','','','Y','Y');</t>
  </si>
  <si>
    <t>INSERT INTO STB_B_CD_MNG (COM_CD, UPP_COM_CD,CD_NM,  SORT_NO, CD_COMMENT,FILTER_1,FILTER_2,FILTER_3,FILTER_4,FILTER_5,FILTER_6,FILTER_7,FILTER_8,FILTER_9,FILTER_10,USE_YN, IS_DEL_ABLE ) VALUES ('PUTG','PU','팝업대상코드','10','팝업대상코드','','','','','','','','','','','Y','Y');</t>
  </si>
  <si>
    <t>INSERT INTO STB_B_CD_MNG (COM_CD, UPP_COM_CD,CD_NM,  SORT_NO, CD_COMMENT,FILTER_1,FILTER_2,FILTER_3,FILTER_4,FILTER_5,FILTER_6,FILTER_7,FILTER_8,FILTER_9,FILTER_10,USE_YN, IS_DEL_ABLE ) VALUES ('PUCL','PU','팝업구분코드','20','팝업구분코드','','','','','','','','','','','Y','Y');</t>
  </si>
  <si>
    <t>INSERT INTO STB_B_CD_MNG (COM_CD, UPP_COM_CD,CD_NM,  SORT_NO, CD_COMMENT,FILTER_1,FILTER_2,FILTER_3,FILTER_4,FILTER_5,FILTER_6,FILTER_7,FILTER_8,FILTER_9,FILTER_10,USE_YN, IS_DEL_ABLE ) VALUES ('PUTG01','PUTG','새탭','10','새탭','','','','','','','','','','','Y','Y');</t>
  </si>
  <si>
    <t>INSERT INTO STB_B_CD_MNG (COM_CD, UPP_COM_CD,CD_NM,  SORT_NO, CD_COMMENT,FILTER_1,FILTER_2,FILTER_3,FILTER_4,FILTER_5,FILTER_6,FILTER_7,FILTER_8,FILTER_9,FILTER_10,USE_YN, IS_DEL_ABLE ) VALUES ('PUTG02','PUTG','새창','20','새창','','','','','','','','','','','Y','Y');</t>
  </si>
  <si>
    <t>INSERT INTO STB_B_CD_MNG (COM_CD, UPP_COM_CD,CD_NM,  SORT_NO, CD_COMMENT,FILTER_1,FILTER_2,FILTER_3,FILTER_4,FILTER_5,FILTER_6,FILTER_7,FILTER_8,FILTER_9,FILTER_10,USE_YN, IS_DEL_ABLE ) VALUES ('PUTG03','PUTG','모달창','30','모달창','','','','','','','','','','','Y','Y');</t>
  </si>
  <si>
    <t>TMCL</t>
    <phoneticPr fontId="1" type="noConversion"/>
  </si>
  <si>
    <t>TMTP</t>
    <phoneticPr fontId="1" type="noConversion"/>
  </si>
  <si>
    <t>예</t>
    <phoneticPr fontId="1" type="noConversion"/>
  </si>
  <si>
    <t>아니오</t>
    <phoneticPr fontId="1" type="noConversion"/>
  </si>
  <si>
    <t>00000000</t>
    <phoneticPr fontId="1" type="noConversion"/>
  </si>
  <si>
    <t>01000000</t>
    <phoneticPr fontId="1" type="noConversion"/>
  </si>
  <si>
    <t>01010000</t>
    <phoneticPr fontId="1" type="noConversion"/>
  </si>
  <si>
    <t>01020000</t>
    <phoneticPr fontId="1" type="noConversion"/>
  </si>
  <si>
    <t>02000000</t>
    <phoneticPr fontId="1" type="noConversion"/>
  </si>
  <si>
    <t>02010000</t>
    <phoneticPr fontId="1" type="noConversion"/>
  </si>
  <si>
    <t>02010100</t>
    <phoneticPr fontId="1" type="noConversion"/>
  </si>
  <si>
    <t>02010200</t>
    <phoneticPr fontId="1" type="noConversion"/>
  </si>
  <si>
    <t>02020000</t>
    <phoneticPr fontId="1" type="noConversion"/>
  </si>
  <si>
    <t>02020100</t>
    <phoneticPr fontId="1" type="noConversion"/>
  </si>
  <si>
    <t>02020200</t>
    <phoneticPr fontId="1" type="noConversion"/>
  </si>
  <si>
    <t>02030000</t>
    <phoneticPr fontId="1" type="noConversion"/>
  </si>
  <si>
    <t>02030100</t>
    <phoneticPr fontId="1" type="noConversion"/>
  </si>
  <si>
    <t>02030200</t>
    <phoneticPr fontId="1" type="noConversion"/>
  </si>
  <si>
    <t>02040000</t>
    <phoneticPr fontId="1" type="noConversion"/>
  </si>
  <si>
    <t>02040100</t>
    <phoneticPr fontId="1" type="noConversion"/>
  </si>
  <si>
    <t>02040200</t>
    <phoneticPr fontId="1" type="noConversion"/>
  </si>
  <si>
    <t>02050000</t>
    <phoneticPr fontId="1" type="noConversion"/>
  </si>
  <si>
    <t>02050100</t>
    <phoneticPr fontId="1" type="noConversion"/>
  </si>
  <si>
    <t>02050200</t>
    <phoneticPr fontId="1" type="noConversion"/>
  </si>
  <si>
    <t>02060000</t>
    <phoneticPr fontId="1" type="noConversion"/>
  </si>
  <si>
    <t>02060100</t>
    <phoneticPr fontId="1" type="noConversion"/>
  </si>
  <si>
    <t>02060200</t>
    <phoneticPr fontId="1" type="noConversion"/>
  </si>
  <si>
    <t>ROOT_MENU</t>
    <phoneticPr fontId="1" type="noConversion"/>
  </si>
  <si>
    <t>71000000</t>
    <phoneticPr fontId="1" type="noConversion"/>
  </si>
  <si>
    <t>71010000</t>
    <phoneticPr fontId="1" type="noConversion"/>
  </si>
  <si>
    <t>71010100</t>
    <phoneticPr fontId="1" type="noConversion"/>
  </si>
  <si>
    <t>71020000</t>
    <phoneticPr fontId="1" type="noConversion"/>
  </si>
  <si>
    <t>71020100</t>
    <phoneticPr fontId="1" type="noConversion"/>
  </si>
  <si>
    <t>71020200</t>
    <phoneticPr fontId="1" type="noConversion"/>
  </si>
  <si>
    <t>71020300</t>
    <phoneticPr fontId="1" type="noConversion"/>
  </si>
  <si>
    <t>71030000</t>
    <phoneticPr fontId="1" type="noConversion"/>
  </si>
  <si>
    <t>71030100</t>
    <phoneticPr fontId="1" type="noConversion"/>
  </si>
  <si>
    <t>71030200</t>
    <phoneticPr fontId="1" type="noConversion"/>
  </si>
  <si>
    <t>71030300</t>
    <phoneticPr fontId="1" type="noConversion"/>
  </si>
  <si>
    <t>71040000</t>
    <phoneticPr fontId="1" type="noConversion"/>
  </si>
  <si>
    <t>71040100</t>
    <phoneticPr fontId="1" type="noConversion"/>
  </si>
  <si>
    <t>71050000</t>
    <phoneticPr fontId="1" type="noConversion"/>
  </si>
  <si>
    <t>71050100</t>
    <phoneticPr fontId="1" type="noConversion"/>
  </si>
  <si>
    <t>71050200</t>
    <phoneticPr fontId="1" type="noConversion"/>
  </si>
  <si>
    <t>71050300</t>
    <phoneticPr fontId="1" type="noConversion"/>
  </si>
  <si>
    <t>71060000</t>
    <phoneticPr fontId="1" type="noConversion"/>
  </si>
  <si>
    <t>71070000</t>
    <phoneticPr fontId="1" type="noConversion"/>
  </si>
  <si>
    <t>71070100</t>
    <phoneticPr fontId="1" type="noConversion"/>
  </si>
  <si>
    <t>71070200</t>
    <phoneticPr fontId="1" type="noConversion"/>
  </si>
  <si>
    <t>71070300</t>
    <phoneticPr fontId="1" type="noConversion"/>
  </si>
  <si>
    <t>71080000</t>
    <phoneticPr fontId="1" type="noConversion"/>
  </si>
  <si>
    <t>71080100</t>
    <phoneticPr fontId="1" type="noConversion"/>
  </si>
  <si>
    <t>71080200</t>
    <phoneticPr fontId="1" type="noConversion"/>
  </si>
  <si>
    <t>71080300</t>
    <phoneticPr fontId="1" type="noConversion"/>
  </si>
  <si>
    <t>71090000</t>
    <phoneticPr fontId="1" type="noConversion"/>
  </si>
  <si>
    <t>71090100</t>
    <phoneticPr fontId="1" type="noConversion"/>
  </si>
  <si>
    <t>71090200</t>
    <phoneticPr fontId="1" type="noConversion"/>
  </si>
  <si>
    <t>71090300</t>
    <phoneticPr fontId="1" type="noConversion"/>
  </si>
  <si>
    <t>71090400</t>
    <phoneticPr fontId="1" type="noConversion"/>
  </si>
  <si>
    <t>71100000</t>
    <phoneticPr fontId="1" type="noConversion"/>
  </si>
  <si>
    <t>71100100</t>
    <phoneticPr fontId="1" type="noConversion"/>
  </si>
  <si>
    <t>71100200</t>
    <phoneticPr fontId="1" type="noConversion"/>
  </si>
  <si>
    <t>71100300</t>
    <phoneticPr fontId="1" type="noConversion"/>
  </si>
  <si>
    <t>71110000</t>
    <phoneticPr fontId="1" type="noConversion"/>
  </si>
  <si>
    <t>71110100</t>
    <phoneticPr fontId="1" type="noConversion"/>
  </si>
  <si>
    <t>71110200</t>
    <phoneticPr fontId="1" type="noConversion"/>
  </si>
  <si>
    <t>71110201</t>
    <phoneticPr fontId="1" type="noConversion"/>
  </si>
  <si>
    <t>71110300</t>
    <phoneticPr fontId="1" type="noConversion"/>
  </si>
  <si>
    <t>71110301</t>
    <phoneticPr fontId="1" type="noConversion"/>
  </si>
  <si>
    <t>72000000</t>
    <phoneticPr fontId="1" type="noConversion"/>
  </si>
  <si>
    <t>72010000</t>
    <phoneticPr fontId="1" type="noConversion"/>
  </si>
  <si>
    <t>72010100</t>
    <phoneticPr fontId="1" type="noConversion"/>
  </si>
  <si>
    <t>72010200</t>
    <phoneticPr fontId="1" type="noConversion"/>
  </si>
  <si>
    <t>72010300</t>
    <phoneticPr fontId="1" type="noConversion"/>
  </si>
  <si>
    <t>73000000</t>
    <phoneticPr fontId="1" type="noConversion"/>
  </si>
  <si>
    <t>73010000</t>
    <phoneticPr fontId="1" type="noConversion"/>
  </si>
  <si>
    <t>73010100</t>
    <phoneticPr fontId="1" type="noConversion"/>
  </si>
  <si>
    <t>73010200</t>
    <phoneticPr fontId="1" type="noConversion"/>
  </si>
  <si>
    <t>73010300</t>
    <phoneticPr fontId="1" type="noConversion"/>
  </si>
  <si>
    <t>73020000</t>
    <phoneticPr fontId="1" type="noConversion"/>
  </si>
  <si>
    <t>73020100</t>
    <phoneticPr fontId="1" type="noConversion"/>
  </si>
  <si>
    <t>73020200</t>
    <phoneticPr fontId="1" type="noConversion"/>
  </si>
  <si>
    <t>73020300</t>
    <phoneticPr fontId="1" type="noConversion"/>
  </si>
  <si>
    <t>74000000</t>
    <phoneticPr fontId="1" type="noConversion"/>
  </si>
  <si>
    <t>74010000</t>
    <phoneticPr fontId="1" type="noConversion"/>
  </si>
  <si>
    <t>74010100</t>
    <phoneticPr fontId="1" type="noConversion"/>
  </si>
  <si>
    <t>74010101</t>
    <phoneticPr fontId="1" type="noConversion"/>
  </si>
  <si>
    <t>74010102</t>
    <phoneticPr fontId="1" type="noConversion"/>
  </si>
  <si>
    <t>74010103</t>
    <phoneticPr fontId="1" type="noConversion"/>
  </si>
  <si>
    <t>74010200</t>
    <phoneticPr fontId="1" type="noConversion"/>
  </si>
  <si>
    <t>74010201</t>
    <phoneticPr fontId="1" type="noConversion"/>
  </si>
  <si>
    <t>74010202</t>
    <phoneticPr fontId="1" type="noConversion"/>
  </si>
  <si>
    <t>74010203</t>
    <phoneticPr fontId="1" type="noConversion"/>
  </si>
  <si>
    <t>74010300</t>
    <phoneticPr fontId="1" type="noConversion"/>
  </si>
  <si>
    <t>74010301</t>
    <phoneticPr fontId="1" type="noConversion"/>
  </si>
  <si>
    <t>74010302</t>
    <phoneticPr fontId="1" type="noConversion"/>
  </si>
  <si>
    <t>74010303</t>
    <phoneticPr fontId="1" type="noConversion"/>
  </si>
  <si>
    <t>74010400</t>
    <phoneticPr fontId="1" type="noConversion"/>
  </si>
  <si>
    <t>74010401</t>
    <phoneticPr fontId="1" type="noConversion"/>
  </si>
  <si>
    <t>74010402</t>
    <phoneticPr fontId="1" type="noConversion"/>
  </si>
  <si>
    <t>74010403</t>
    <phoneticPr fontId="1" type="noConversion"/>
  </si>
  <si>
    <t>74010500</t>
    <phoneticPr fontId="1" type="noConversion"/>
  </si>
  <si>
    <t>74010501</t>
    <phoneticPr fontId="1" type="noConversion"/>
  </si>
  <si>
    <t>74010502</t>
    <phoneticPr fontId="1" type="noConversion"/>
  </si>
  <si>
    <t>74010503</t>
    <phoneticPr fontId="1" type="noConversion"/>
  </si>
  <si>
    <t>74010600</t>
    <phoneticPr fontId="1" type="noConversion"/>
  </si>
  <si>
    <t>74010601</t>
    <phoneticPr fontId="1" type="noConversion"/>
  </si>
  <si>
    <t>74010602</t>
    <phoneticPr fontId="1" type="noConversion"/>
  </si>
  <si>
    <t>74010603</t>
    <phoneticPr fontId="1" type="noConversion"/>
  </si>
  <si>
    <t>74020000</t>
    <phoneticPr fontId="1" type="noConversion"/>
  </si>
  <si>
    <t>75000000</t>
    <phoneticPr fontId="1" type="noConversion"/>
  </si>
  <si>
    <t>75010000</t>
    <phoneticPr fontId="1" type="noConversion"/>
  </si>
  <si>
    <t>75020000</t>
    <phoneticPr fontId="1" type="noConversion"/>
  </si>
  <si>
    <t>75030000</t>
    <phoneticPr fontId="1" type="noConversion"/>
  </si>
  <si>
    <t>76000000</t>
    <phoneticPr fontId="1" type="noConversion"/>
  </si>
  <si>
    <t>77000000</t>
    <phoneticPr fontId="1" type="noConversion"/>
  </si>
  <si>
    <t>74010700</t>
    <phoneticPr fontId="1" type="noConversion"/>
  </si>
  <si>
    <t>74010701</t>
    <phoneticPr fontId="1" type="noConversion"/>
  </si>
  <si>
    <t>74010702</t>
    <phoneticPr fontId="1" type="noConversion"/>
  </si>
  <si>
    <t>74010703</t>
    <phoneticPr fontId="1" type="noConversion"/>
  </si>
  <si>
    <t>74010704</t>
    <phoneticPr fontId="1" type="noConversion"/>
  </si>
  <si>
    <t>INSERT INTO STB_B_MENU_MNG(MENU_DIV_CD, MENU_CD ,UPR_MENU_CD, KOR_NM, URL_ADDR, PAGE_CL, MENU_PARAM,MENU_CSS, LAY_OUT, RTN_URL , SORT_NO , MENU_COMMENT, MENU_TARGET, IS_DEL_ABLE, REG_USER, USE_YN ) VALUES('MA','00000000','','Home','','ROOT','','','','','0','','','N','standard_ms','Y');</t>
  </si>
  <si>
    <t>INSERT INTO STB_B_MENU_MNG(MENU_DIV_CD, MENU_CD ,UPR_MENU_CD, KOR_NM, URL_ADDR, PAGE_CL, MENU_PARAM,MENU_CSS, LAY_OUT, RTN_URL , SORT_NO , MENU_COMMENT, MENU_TARGET, IS_DEL_ABLE, REG_USER, USE_YN ) VALUES('MA','71000000','00000000','시스템관리','','MAIN','','i01','','','10','','','N','standard_ms','Y');</t>
  </si>
  <si>
    <t>INSERT INTO STB_B_MENU_MNG(MENU_DIV_CD, MENU_CD ,UPR_MENU_CD, KOR_NM, URL_ADDR, PAGE_CL, MENU_PARAM,MENU_CSS, LAY_OUT, RTN_URL , SORT_NO , MENU_COMMENT, MENU_TARGET, IS_DEL_ABLE, REG_USER, USE_YN ) VALUES('MA','71010100','71010000','시스템운영 정책 수정','/ma/system/basic/update.do',' ','{}','','.mLayout:','/ma/system/basic/update','10','{}','_self','N','standard_ms','Y');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</si>
  <si>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VALUES('MA','71020000','71000000','권한관리','/ma/system/auth/list.do','MAIN','{}','','.mLayout:','/ma/system/auth/list','20','{}','_self','N','standard_ms','Y');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</si>
  <si>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VALUES('MA','71020100','71020000','권한 조회','/ma/system/auth/view.do','','{}','','.mLayout:','/ma/system/auth/view','10','{}','_self','N','standard_ms','Y');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</si>
  <si>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VALUES('MA','71020200','71020000','권한 수정','/ma/system/auth/update.do','','{}','','.mLayout:','/ma/system/auth/update','20','{}','_self','N','standard_ms','Y');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</si>
  <si>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VALUES('MA','71020300','71020000','권한 등록','/ma/system/auth/regist.do','','{}','','.mLayout:','/ma/system/auth/regist','30','{}','_self','N','standard_ms','Y');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</si>
  <si>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VALUES('MA','71030000','71000000','메뉴관리','/ma/system/menu/list.do','MAIN','{}','','.mLayout:','/ma/system/menu/list','30','{}','_self','N','standard_ms','Y');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</si>
  <si>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VALUES('MA','71030100','71030000','메뉴조회','/ma/system/menu/view.do','','{}','','.mLayout:','/ma/system/menu/view','10','{}','_self','N','standard_ms','Y');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</si>
  <si>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VALUES('MA','71030200','71030000','메뉴수정','/ma/system/menu/update.do','','{}','','.mLayout:','/ma/system/menu/update','20','{}','_self','N','standard_ms','Y');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</si>
  <si>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VALUES('MA','71030300','71030000','메뉴등록','/ma/system/menu/regist.do','','{}','','.mLayout:','/ma/system/menu/regist','30','{}','_self','N','standard_ms','Y');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</si>
  <si>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VALUES('MA','71040000','71000000','권한별 접근메뉴 관리','/ma/system/authMenu/list.do','MAIN','{}','','.mLayout:','/ma/system/authMenu/list','40','{}','_self','N','standard_ms','Y');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</si>
  <si>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VALUES('MA','71040100','71040000','권한_메뉴 매핑','/ma/system/authMenu/update.do','','{}','','.mLayout:','/ma/system/authMenu/update','10','{}','_self','N','standard_ms','Y');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</si>
  <si>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VALUES('MA','71050000','71000000','사용자관리','/ma/system/user/list.do','MAIN','{}','','.mLayout:','/ma/system/user/list','50','{}','_self','N','standard_ms','Y');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</si>
  <si>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VALUES('MA','71050100','71050000','사용자조회','/ma/system/user/view.do','','{}','','.mLayout:','/ma/system/user/view','10','{}','_self','N','standard_ms','Y');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</si>
  <si>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VALUES('MA','71050200','71050000','사용자수정','/ma/system/user/update.do','','{}','','.mLayout:','/ma/system/user/update','20','{}','_self','N','standard_ms','Y');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</si>
  <si>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VALUES('MA','71050300','71050000','사용자등록','/ma/system/user/regist.do','','{}','','.mLayout:','/ma/system/user/regist','30','{}','_self','N','standard_ms','Y');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</si>
  <si>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VALUES('MA','71060000','71000000','공통코드관리','/ma/system/comcode/list.do','MAIN','{}','','.mLayout:','/ma/system/comcode/list','60','{}','_self','N','standard_ms','Y');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</si>
  <si>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VALUES('MA','71070000','71000000','게시판정보관리','/ma/system/boardtype/list.do','MAIN','{}','','.mLayout:','/ma/system/boardtype/list','70','{}','_self','N','standard_ms','Y');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</si>
  <si>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VALUES('MA','71070100','71070000','게시판유형등록','/ma/system/boardtype/regist.do','','{}','','.mLayout:','/ma/system/boardtype/regist','10','{}','_self','N','standard_ms','Y');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</si>
  <si>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VALUES('MA','71070200','71070000','게시판유형조회','/ma/system/boardtype/view.do','','{}','','.mLayout:','/ma/system/boardtype/view','20','{}','_self','N','standard_ms','Y');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</si>
  <si>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VALUES('MA','71070300','71070000','게시판유형수정','/ma/system/boardtype/update.do','','{}','','.mLayout:','/ma/system/boardtype/update','30','{}','_self','N','standard_ms','Y');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</si>
  <si>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VALUES('MA','71080000','71000000','메뉴얼관리','/ma/system/menual/list.do','MAIN','{}','','.mLayout:','/ma/system/menual/list','80','{}','_self','','standard_ms','Y');</t>
  </si>
  <si>
    <t>INSERT INTO STB_B_MENU_MNG(MENU_DIV_CD, MENU_CD ,UPR_MENU_CD, KOR_NM, URL_ADDR, PAGE_CL, MENU_PARAM,MENU_CSS, LAY_OUT, RTN_URL , SORT_NO , MENU_COMMENT, MENU_TARGET, IS_DEL_ABLE, REG_USER, USE_YN ) VALUES('MA','71080100','71080000','메뉴얼등록','/ma/system/menual/regist.do','','{}','','.mLayout:','/ma/system/menual/regist','10','{}','_self','','standard_ms','Y');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</si>
  <si>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VALUES('MA','71080200','71080000','메뉴얼조회','/ma/system/menual/view.do','','{}','','.mLayout:','/ma/system/menual/view','20','{}','_self','','standard_ms','Y');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</si>
  <si>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VALUES('MA','71080300','71080000','메뉴얼수정','/ma/system/menual/update.do','','{}','','.mLayout:','/ma/system/menual/update','30','{}','_self','','standard_ms','Y');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</si>
  <si>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VALUES('MA','71090000','71000000','약관관리','','MAIN','{}','','','','90','{}','','','standard_ms','Y');</t>
  </si>
  <si>
    <t>INSERT INTO STB_B_MENU_MNG(MENU_DIV_CD, MENU_CD ,UPR_MENU_CD, KOR_NM, URL_ADDR, PAGE_CL, MENU_PARAM,MENU_CSS, LAY_OUT, RTN_URL , SORT_NO , MENU_COMMENT, MENU_TARGET, IS_DEL_ABLE, REG_USER, USE_YN ) VALUES('MA','71090100','71090000','회원가입 약관','/ma/system/join/agreement/view.do','MAIN','{}','','.mLayout:','/ma/system/join/agreement/view','10','{}','_self','N','standard_ms','Y');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</si>
  <si>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VALUES('MA','71090200','71090000','회원가입 약관 (수정)','/ma/system/join/agreement/update.do','','{}','','.mLayout:','/ma/system/join/agreement/update','10','{}','_self','N','standard_ms','Y');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</si>
  <si>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VALUES('MA','71090300','71090000','회원탈퇴 약관','/ma/system/escape/agreement/view.do','MAIN','{}','','.mLayout:','/ma/system/escape/agreement/view','20','{}','_self','N','standard_ms','Y');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</si>
  <si>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VALUES('MA','71090400','71090000','회원탈퇴 약관 (수정)','/ma/system/escape/agreement/update.do','','{}','','.mLayout:','/ma/system/escape/agreement/update','10','{}','_self','N','standard_ms','Y');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</si>
  <si>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VALUES('MA','71100000','71000000','메인공지팝업관리','/ma/system/popup/list.do','MAIN','{}','','.mLayout:','/ma/system/popup/list','100','{}','_self','N','standard_ms','Y');</t>
  </si>
  <si>
    <t>INSERT INTO STB_B_MENU_MNG(MENU_DIV_CD, MENU_CD ,UPR_MENU_CD, KOR_NM, URL_ADDR, PAGE_CL, MENU_PARAM,MENU_CSS, LAY_OUT, RTN_URL , SORT_NO , MENU_COMMENT, MENU_TARGET, IS_DEL_ABLE, REG_USER, USE_YN ) VALUES('MA','71100100','71100000','메인공지팝업상세','/ma/system/popup/view.do','','{}','','.mLayout:','/ma/system/popup/view','10','{}','_self','N','standard_ms','Y');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</si>
  <si>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VALUES('MA','71100200','71100000','메인공지팝업수정','/ma/system/popup/update.do','','{}','','.mLayout:','/ma/system/popup/update','20','{}','_self','N','standard_ms','Y');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</si>
  <si>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VALUES('MA','71100300','71100000','메인공지팝업등록','/ma/system/popup/regist.do','','{}','','.mLayout:','/ma/system/popup/regist','30','{}','_self','N','standard_ms','Y');</t>
  </si>
  <si>
    <t>INSERT INTO STB_B_MENU_MNG(MENU_DIV_CD, MENU_CD ,UPR_MENU_CD, KOR_NM, URL_ADDR, PAGE_CL, MENU_PARAM,MENU_CSS, LAY_OUT, RTN_URL , SORT_NO , MENU_COMMENT, MENU_TARGET, IS_DEL_ABLE, REG_USER, USE_YN ) VALUES('MA','71110000','71000000','로그관리','','MAIN','{}','','','','110','{}','','','standard_ms','Y');</t>
  </si>
  <si>
    <t>INSERT INTO STB_B_MENU_MNG(MENU_DIV_CD, MENU_CD ,UPR_MENU_CD, KOR_NM, URL_ADDR, PAGE_CL, MENU_PARAM,MENU_CSS, LAY_OUT, RTN_URL , SORT_NO , MENU_COMMENT, MENU_TARGET, IS_DEL_ABLE, REG_USER, USE_YN ) VALUES('MA','71110100','71110000','로그인로그','/ma/system/log/login.do','MAIN','{}','','.mLayout:','/ma/system/log/login','10','{}','_self','','standard_ms','Y');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</si>
  <si>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VALUES('MA','71110200','71110000','에러로그','/ma/system/log/lerror/list.do','MAIN','{}','','.mLayout:','/ma/system/log/lerror/list','20','{}','_self','','standard_ms','Y');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</si>
  <si>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VALUES('MA','71110201','71110200','에러 상세','/ma/system/log/lerror/view.do','','{}','','.mLayout:','/ma/system/log/lerror/view','10','{}','_self','','standard_ms','Y');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</si>
  <si>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VALUES('MA','71110300','71110000','Action로그','/ma/system/log/action/list.do','MAIN','{}','','.mLayout:','/ma/system/log/action/list','120','{}','_self','','standard_ms','Y');</t>
  </si>
  <si>
    <t>INSERT INTO STB_B_MENU_MNG(MENU_DIV_CD, MENU_CD ,UPR_MENU_CD, KOR_NM, URL_ADDR, PAGE_CL, MENU_PARAM,MENU_CSS, LAY_OUT, RTN_URL , SORT_NO , MENU_COMMENT, MENU_TARGET, IS_DEL_ABLE, REG_USER, USE_YN ) VALUES('MA','71110301','71110300','Action상세','/ma/system/log/action/view.do','','{}','','.mLayout:','/ma/system/log/action/view','10','{}','_self','','standard_ms','Y');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</si>
  <si>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VALUES('MA','72000000','00000000','운영자 지원','','MAIN','{}','i02','','','20','{}','','','standard_ms','Y');</t>
  </si>
  <si>
    <t>INSERT INTO STB_B_MENU_MNG(MENU_DIV_CD, MENU_CD ,UPR_MENU_CD, KOR_NM, URL_ADDR, PAGE_CL, MENU_PARAM,MENU_CSS, LAY_OUT, RTN_URL , SORT_NO , MENU_COMMENT, MENU_TARGET, IS_DEL_ABLE, REG_USER, USE_YN ) VALUES('MA','72010000','72000000','컨텐츠관리','/ma/usersupport/contTemplete/list.do','MAIN','{}','','.mLayout:','/ma/usersupport/contTemplete/list','20','{}','_self','','standard_ms','Y');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</si>
  <si>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VALUES('MA','72010100','72010000','컨텐츠등록','/ma/usersupport/contTemplete/regist.do','','{}','','.mLayout:','/ma/usersupport/contTemplete/regist','10','{}','_self','','standard_ms','Y');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</si>
  <si>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VALUES('MA','72010200','72010000','컨텐츠상세','/ma/usersupport/contTemplete/view.do','','{}','','.mLayout:','/ma/usersupport/contTemplete/view','20','{}','_self','','standard_ms','Y');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</si>
  <si>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VALUES('MA','72010300','72010000','컨텐츠수정','/ma/usersupport/contTemplete/update.do','','{}','','.mLayout:','/ma/usersupport/contTemplete/update','30','{}','_self','','standard_ms','Y');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</si>
  <si>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VALUES('MA','73000000','00000000','메타데이터관리','','MAIN','{}','i03','','','30','{}','','','standard_ms','Y');</t>
  </si>
  <si>
    <t>INSERT INTO STB_B_MENU_MNG(MENU_DIV_CD, MENU_CD ,UPR_MENU_CD, KOR_NM, URL_ADDR, PAGE_CL, MENU_PARAM,MENU_CSS, LAY_OUT, RTN_URL , SORT_NO , MENU_COMMENT, MENU_TARGET, IS_DEL_ABLE, REG_USER, USE_YN ) VALUES('MA','73010000','73000000','용어사전','','MAIN','{}','','','','10','{}','','','standard_ms','Y');</t>
  </si>
  <si>
    <t>INSERT INTO STB_B_MENU_MNG(MENU_DIV_CD, MENU_CD ,UPR_MENU_CD, KOR_NM, URL_ADDR, PAGE_CL, MENU_PARAM,MENU_CSS, LAY_OUT, RTN_URL , SORT_NO , MENU_COMMENT, MENU_TARGET, IS_DEL_ABLE, REG_USER, USE_YN ) VALUES('MA','73010100','73010000','용어관리','/ma/meta/term/list.do','','{}','','.mLayout:','/ma/meta/term/list','10','{}','_self','','standard_ms','Y');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</si>
  <si>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VALUES('MA','73010200','73010000','도메인관리','/ma/meta/dmn/list.do','','{}','','.mLayout:','/ma/meta/dmn/list','20','{}','_self','','standard_ms','Y');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</si>
  <si>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VALUES('MA','73010300','73010000','단어관리','/ma/meta/word/list.do','','{}','','.mLayout:','/ma/meta/word/list','30','{}','_self','','standard_ms','Y');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</si>
  <si>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VALUES('MA','73020000','73000000','DB품질','','MAIN','{}','','','','20','{}','','','standard_ms','Y');</t>
  </si>
  <si>
    <t>INSERT INTO STB_B_MENU_MNG(MENU_DIV_CD, MENU_CD ,UPR_MENU_CD, KOR_NM, URL_ADDR, PAGE_CL, MENU_PARAM,MENU_CSS, LAY_OUT, RTN_URL , SORT_NO , MENU_COMMENT, MENU_TARGET, IS_DEL_ABLE, REG_USER, USE_YN ) VALUES('MA','73020100','73020000','DB데이터','/ma/meta/dbData/list.do','','{}','','.mLayout:','/ma/meta/dbData/list','10','{}','_self','','standard_ms','Y');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</si>
  <si>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VALUES('MA','73020200','73020000','테이블진단','/ma/meta/tblDgns/list.do','','{}','','.mLayout:','/ma/meta/tblDgns/list','20','{}','_self','','standard_ms','Y');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</si>
  <si>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VALUES('MA','73020300','73020000','용어진단','/ma/meta/termDiag/list.do','','{}','','.mLayout:','/ma/meta/termDiag/list','30','{}','_self','','standard_ms','Y');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</si>
  <si>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VALUES('MA','74000000','00000000','게시판관리','','MAIN','{}','i04','','','40','{}','','','standard_ms','Y');</t>
  </si>
  <si>
    <t>INSERT INTO STB_B_MENU_MNG(MENU_DIV_CD, MENU_CD ,UPR_MENU_CD, KOR_NM, URL_ADDR, PAGE_CL, MENU_PARAM,MENU_CSS, LAY_OUT, RTN_URL , SORT_NO , MENU_COMMENT, MENU_TARGET, IS_DEL_ABLE, REG_USER, USE_YN ) VALUES('MA','74010000','74000000','게시판샘플','','MAIN','{}','','','','10','{}','','','standard_ms','Y');</t>
  </si>
  <si>
    <t>INSERT INTO STB_B_MENU_MNG(MENU_DIV_CD, MENU_CD ,UPR_MENU_CD, KOR_NM, URL_ADDR, PAGE_CL, MENU_PARAM,MENU_CSS, LAY_OUT, RTN_URL , SORT_NO , MENU_COMMENT, MENU_TARGET, IS_DEL_ABLE, REG_USER, USE_YN ) VALUES('MA','74010100','74010000','알림마당','/ma/boardsample/normal/list.do','','{}','','.mLayout:','/ma/boardsample/normal/list','10','{}','_self','','standard_ms','Y');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</si>
  <si>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VALUES('MA','74010101','74010100','알림마당등록','/ma/boardsample/normal/regist.do','','{}','','.mLayout:','/ma/boardsample/normal/regist','10','{}','_self','','standard_ms','Y');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</si>
  <si>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VALUES('MA','74010102','74010100','알림마당상세(삭제)','/ma/boardsample/normal/view.do','','{}','','.mLayout:','/ma/boardsample/normal/view','20','{}','_self','','standard_ms','Y');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</si>
  <si>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VALUES('MA','74010103','74010100','알림마당수정','/ma/boardsample/normal/update.do','','{}','','.mLayout:','/ma/boardsample/normal/update','30','{}','_self','','standard_ms','Y');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</si>
  <si>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VALUES('MA','74010200','74010000','공지사항','/ma/boardsample/notice/list.do','MAIN','{}','','.mLayout:','/ma/boardsample/notice/list','20','{}','_self','','standard_ms','Y');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</si>
  <si>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VALUES('MA','74010201','74010200','공지사항등록','/ma/boardsample/notice/regist.do','','{}','','.mLayout:','/ma/boardsample/notice/regist','10','{}','_self','','standard_ms','Y');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</si>
  <si>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VALUES('MA','74010202','74010200','공지사항상세(삭제)','/ma/boardsample/notice/view.do','','{}','','.mLayout:','/ma/boardsample/notice/view','20','{}','_self','','standard_ms','Y');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</si>
  <si>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VALUES('MA','74010203','74010200','공지사항수정','/ma/boardsample/notice/update.do','','{}','','.mLayout:','/ma/boardsample/notice/update','30','{}','_self','','standard_ms','Y');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</si>
  <si>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VALUES('MA','74010300','74010000','FAQ','/ma/boardsample/faq/list.do','MAIN','{}','','.mLayout:','/ma/boardsample/faq/list','30','{}','_self','','standard_ms','Y');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</si>
  <si>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VALUES('MA','74010301','74010300','FAQ등록','/ma/boardsample/faq/regist.do','','{}','','.mLayout:','/ma/boardsample/faq/regist','10','{}','_self','','standard_ms','Y');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</si>
  <si>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VALUES('MA','74010302','74010300','FAQ상세(삭제)','/ma/boardsample/faq/view.do','','{}','','.mLayout:','/ma/boardsample/faq/view','20','{}','_self','','standard_ms','Y');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</si>
  <si>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VALUES('MA','74010303','74010300','FAQ수정','/ma/boardsample/faq/update.do','','{}','','.mLayout:','/ma/boardsample/faq/update','30','{}','_self','','standard_ms','Y');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</si>
  <si>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VALUES('MA','74010400','74010000','QNA','/ma/boardsample/qna/list.do','MAIN','{}','','.mLayout:','/ma/boardsample/qna/list','40','{}','_self','','standard_ms','Y');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</si>
  <si>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VALUES('MA','74010401','74010400','QNA등록','/ma/boardsample/qna/regist.do','','{}','','.mLayout:','/ma/boardsample/qna/regist','10','{}','_self','','standard_ms','Y');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</si>
  <si>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VALUES('MA','74010402','74010400','QNA상세(삭제)','/ma/boardsample/qna/view.do','','{}','','.mLayout:','/ma/boardsample/qna/view','20','{}','_self','','standard_ms','Y');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</si>
  <si>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VALUES('MA','74010403','74010400','QNA수정','/ma/boardsample/qna/update.do','','{}','','.mLayout:','/ma/boardsample/qna/update','30','{}','_self','','standard_ms','Y');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</si>
  <si>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VALUES('MA','74010500','74010000','비밀게시판','/ma/boardsample/scret/list.do','MAIN','{}','','.mLayout:','/ma/boardsample/scret/list','50','{}','_self','','standard_ms','Y');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</si>
  <si>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VALUES('MA','74010501','74010500','비밀게시판 등록','/ma/boardsample/scret/regist.do','','{}','','.mLayout:','/ma/boardsample/scret/regist','10','{}','_self','','standard_ms','Y');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</si>
  <si>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VALUES('MA','74010502','74010500','비밀게시판 상세(삭제)','/ma/boardsample/scret/view.do','','{}','','.mLayout:','/ma/boardsample/scret/view','20','{}','_self','','standard_ms','Y');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</si>
  <si>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VALUES('MA','74010503','74010500','비밀게시판 수정','/ma/boardsample/scret/update.do','','{}','','.mLayout:','/ma/boardsample/scret/update','30','{}','_self','','standard_ms','Y');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</si>
  <si>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VALUES('MA','74010600','74010000','갤러리','/ma/boardsample/gallery/list.do','MAIN','{}','','.mLayout:','/ma/boardsample/gallery/list','60','{}','_self','','standard_ms','Y');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</si>
  <si>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VALUES('MA','74010601','74010600','갤러리 등록','/ma/boardsample/gallery/regist.do','','{}','','.mLayout:','/ma/boardsample/gallery/regist','10','{}','_self','','standard_ms','Y');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</si>
  <si>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VALUES('MA','74010602','74010600','갤러리 상세(삭제)','/ma/boardsample/gallery/view.do','','{}','','.mLayout:','/ma/boardsample/gallery/view','20','{}','_self','','standard_ms','Y');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</si>
  <si>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VALUES('MA','74010603','74010600','갤러리 수정','/ma/boardsample/gallery/update.do','','{}','','.mLayout:','/ma/boardsample/gallery/update','30','{}','_self','','standard_ms','Y');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</si>
  <si>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VALUES('MA','74010700','74010000','설문조사관리','','MAIN','{}','','','','70','{}','','','standard_ms','Y');</t>
  </si>
  <si>
    <t>INSERT INTO STB_B_MENU_MNG(MENU_DIV_CD, MENU_CD ,UPR_MENU_CD, KOR_NM, URL_ADDR, PAGE_CL, MENU_PARAM,MENU_CSS, LAY_OUT, RTN_URL , SORT_NO , MENU_COMMENT, MENU_TARGET, IS_DEL_ABLE, REG_USER, USE_YN ) VALUES('MA','74010701','74010700','설문조사등록','/ma/baordsample/srvy/list.do','MAIN','{}','','.mLayout:','/ma/baordsample/srvy/list','10','{}','_self','','standard_ms','Y');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</si>
  <si>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VALUES('MA','74010702','74010700','설문조사개요등록','/ma/baordsample/srvy/regist.do','','{}','','.mLayout:','/ma/baordsample/srvy/regist','10','{}','_self','','standard_ms','Y');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</si>
  <si>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VALUES('MA','74010703','74010700','설문조사문항등록','/ma/baordsample/srvy/itemregist.do','','{}','','.mLayout:','/ma/baordsample/srvy/itemregist','20','{}','_self','','standard_ms','Y');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</si>
  <si>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VALUES('MA','74010704','74010700','설문조사문항수정','/ma/baordsample/srvy/itemrupdate.do','','{}','','.mLayout:','/ma/baordsample/srvy/itemrupdate','30','{}','_self','','standard_ms','Y');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</si>
  <si>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VALUES('MA','74020000','74000000','게시판','','MAIN','{}','','','','20','{}','','','standard_ms','Y');</t>
  </si>
  <si>
    <t>INSERT INTO STB_B_MENU_MNG(MENU_DIV_CD, MENU_CD ,UPR_MENU_CD, KOR_NM, URL_ADDR, PAGE_CL, MENU_PARAM,MENU_CSS, LAY_OUT, RTN_URL , SORT_NO , MENU_COMMENT, MENU_TARGET, IS_DEL_ABLE, REG_USER, USE_YN ) VALUES('MA','75000000','00000000','통계','','MAIN','{}','i05','','','94','{}','','','standard_ms','Y');</t>
  </si>
  <si>
    <t>INSERT INTO STB_B_MENU_MNG(MENU_DIV_CD, MENU_CD ,UPR_MENU_CD, KOR_NM, URL_ADDR, PAGE_CL, MENU_PARAM,MENU_CSS, LAY_OUT, RTN_URL , SORT_NO , MENU_COMMENT, MENU_TARGET, IS_DEL_ABLE, REG_USER, USE_YN ) VALUES('MA','75010000','75000000','로그인통계','/ma/statistics/login.do','MAIN','{}','','.mLayout:','/ma/statistics/login','10','{}','_self','','standard_ms','Y');</t>
  </si>
  <si>
    <t>INSERT INTO STB_B_MENU_MNG(MENU_DIV_CD, MENU_CD ,UPR_MENU_CD, KOR_NM, URL_ADDR, PAGE_CL, MENU_PARAM,MENU_CSS, LAY_OUT, RTN_URL , SORT_NO , MENU_COMMENT, MENU_TARGET, IS_DEL_ABLE, REG_USER, USE_YN ) VALUES('MA','75020000','75000000','기간별통계','/ma/statistics/period.do','MAIN','{}','','.mLayout:','/ma/statistics/period','20','{}','_self','','standard_ms','Y');</t>
  </si>
  <si>
    <t>INSERT INTO STB_B_MENU_MNG(MENU_DIV_CD, MENU_CD ,UPR_MENU_CD, KOR_NM, URL_ADDR, PAGE_CL, MENU_PARAM,MENU_CSS, LAY_OUT, RTN_URL , SORT_NO , MENU_COMMENT, MENU_TARGET, IS_DEL_ABLE, REG_USER, USE_YN ) VALUES('MA','75030000','75000000','메뉴별통계','/ma/statistics/menu.do','MAIN','{}','','.mLayout:','/ma/statistics/menu','30','{}','_self','','standard_ms','Y');</t>
  </si>
  <si>
    <t>INSERT INTO STB_B_MENU_MNG(MENU_DIV_CD, MENU_CD ,UPR_MENU_CD, KOR_NM, URL_ADDR, PAGE_CL, MENU_PARAM,MENU_CSS, LAY_OUT, RTN_URL , SORT_NO , MENU_COMMENT, MENU_TARGET, IS_DEL_ABLE, REG_USER, USE_YN ) VALUES('MA','76000000','00000000','퍼블가이드','/guide/publish/index.html','MAIN','{}','i06','','/guide/publish/index.html','95','{}','_blank','','standard_ms','Y');</t>
  </si>
  <si>
    <t>INSERT INTO STB_B_MENU_MNG(MENU_DIV_CD, MENU_CD ,UPR_MENU_CD, KOR_NM, URL_ADDR, PAGE_CL, MENU_PARAM,MENU_CSS, LAY_OUT, RTN_URL , SORT_NO , MENU_COMMENT, MENU_TARGET, IS_DEL_ABLE, REG_USER, USE_YN ) VALUES('MA','77000000','00000000','개발가이드','','MAIN','{}','i06','','','96','{}','','','standard_ms','Y');</t>
  </si>
  <si>
    <t>INSERT INTO STB_B_MENU_MNG(MENU_DIV_CD, MENU_CD ,UPR_MENU_CD, KOR_NM, URL_ADDR, PAGE_CL, MENU_PARAM,MENU_CSS, LAY_OUT, RTN_URL , SORT_NO , MENU_COMMENT, MENU_TARGET, IS_DEL_ABLE, REG_USER, USE_YN ) VALUES('FT','01000000','00000000','안내','','MAIN','{}','','','','10','{}','','','standard_ms','Y');</t>
  </si>
  <si>
    <t>INSERT INTO STB_B_MENU_MNG(MENU_DIV_CD, MENU_CD ,UPR_MENU_CD, KOR_NM, URL_ADDR, PAGE_CL, MENU_PARAM,MENU_CSS, LAY_OUT, RTN_URL , SORT_NO , MENU_COMMENT, MENU_TARGET, IS_DEL_ABLE, REG_USER, USE_YN ) VALUES('FT','01010000','01000000','연혁','/ft/intro/history.do','MAIN','{}','','.fLayout:','/ft/intro/history','10','{}','_self','','standard_ms','Y');</t>
  </si>
  <si>
    <t>INSERT INTO STB_B_MENU_MNG(MENU_DIV_CD, MENU_CD ,UPR_MENU_CD, KOR_NM, URL_ADDR, PAGE_CL, MENU_PARAM,MENU_CSS, LAY_OUT, RTN_URL , SORT_NO , MENU_COMMENT, MENU_TARGET, IS_DEL_ABLE, REG_USER, USE_YN ) VALUES('FT','01020000','01000000','오시는길','/ft/intro/directionWay.do','MAIN','{}','','.fLayout:','/ft/intro/directionWay','20','{}','_self','','standard_ms','Y');</t>
  </si>
  <si>
    <t>INSERT INTO STB_B_MENU_MNG(MENU_DIV_CD, MENU_CD ,UPR_MENU_CD, KOR_NM, URL_ADDR, PAGE_CL, MENU_PARAM,MENU_CSS, LAY_OUT, RTN_URL , SORT_NO , MENU_COMMENT, MENU_TARGET, IS_DEL_ABLE, REG_USER, USE_YN ) VALUES('FT','02000000','00000000','게시판관리','','MAIN','{}','','','','20','{}','_self','N','standard_ms','Y');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</si>
  <si>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VALUES('FT','02010000','02000000','알림마당','/ft/board/basic/list.do','MAIN','{}','','.fLayout:','/ft/board/basic/list','10','{}','_self','N','standard_ms','Y');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</si>
  <si>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VALUES('FT','02010100','02010000','상세','/ft/board/basic/view.do','','{}','','.fLayout:','/ft/board/basic/view','10','{}','_self','N','standard_ms','Y');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</si>
  <si>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VALUES('FT','02010200','02010000','수정','/ft/board/basic/update.do','','{}','','.fLayout:','/ft/board/basic/update','20','{}','_self','N','standard_ms','Y');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</si>
  <si>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VALUES('FT','02020000','02000000','공지사항','/ft/board/notice/list.do','MAIN','{}','','.fLayout:','/ft/board/notice/list','20','{}','_self','N','standard_ms','Y');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</si>
  <si>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VALUES('FT','02020100','02020000','상세','/ft/board/notice/view.do','','{}','','.fLayout:','/ft/board/notice/view','10','{}','_self','N','standard_ms','Y');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</si>
  <si>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VALUES('FT','02020200','02020000','수정','/ft/board/notice/update.do','SUB','{}','','.fLayout:','/ft/board/notice/update','20','{}','_self','N','standard_ms','Y');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</si>
  <si>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VALUES('FT','02030000','02000000','FAQ','/ft/board/faq/list.do','MAIN','{}','','.fLayout:','/ft/board/faq/list','30','{}','_self','N','standard_ms','Y');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</si>
  <si>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VALUES('FT','02030100','02030000','상세','/ft/board/faq/view.do','','{}','','.fLayout:','/ft/board/faq/view','10','{}','_self','N','standard_ms','Y');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</si>
  <si>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VALUES('FT','02030200','02030000','수정','/ft/board/faq/update.do','','{}','','.fLayout:','/ft/board/faq/update','20','{}','_self','N','standard_ms','Y');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</si>
  <si>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VALUES('FT','02040000','02000000','QNA','/ft/board/qna/list.do','MAIN','{}','','.fLayout:','/ft/board/qna/list','40','{}','_self','N','standard_ms','Y');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</si>
  <si>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VALUES('FT','02040100','02040000','상세','/ft/board/qna/view.do','','{}','','.fLayout:','/ft/board/qna/view','10','{}','_self','N','standard_ms','Y');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</si>
  <si>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VALUES('FT','02040200','02040000','수정','/ft/board/qna/update.do','','{}','','.fLayout:','/ft/board/qna/update','20','{}','_self','N','standard_ms','Y');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</si>
  <si>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VALUES('FT','02050000','02000000','비밀_게시판','/ma/board/secret/list.do','MAIN','{}','','.fLayout:','/ma/board/secret/list','50','{}','_self','N','standard_ms','Y');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</si>
  <si>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VALUES('FT','02050100','02050000','상세','/ft/board/secret/view.do','SUB','{}','','.fLayout:','/ft/board/secret/view','10','{}','_self','N','standard_ms','Y');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</si>
  <si>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VALUES('FT','02050200','02050000','수정','/ft/board/secret/update.do','','{}','','.fLayout:','/ft/board/secret/update','20','{}','_self','N','standard_ms','Y');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</si>
  <si>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VALUES('FT','02060000','02000000','갤러리','/ft/board/gallery/list.do','MAIN','{}','','.fLayout:','/ft/board/gallery/list','60','{}','_self','N','standard_ms','Y');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</si>
  <si>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VALUES('FT','02060100','02060000','상세','/ft/board/gallery/view.do','','{}','','.fLayout:','/ft/board/gallery/view','10','{}','_self','N','standard_ms','Y');</t>
  </si>
  <si>
    <t>INSERT INTO STB_B_MENU_MNG(MENU_DIV_CD, MENU_CD ,UPR_MENU_CD, KOR_NM, URL_ADDR, PAGE_CL, MENU_PARAM,MENU_CSS, LAY_OUT, RTN_URL , SORT_NO , MENU_COMMENT, MENU_TARGET, IS_DEL_ABLE, REG_USER, USE_YN ) VALUES('FT','02060200','02060000','수정','/ft/board/gallery/update.do','','{}','','.fLayout:','/ft/board/gallery/update','20','{}','_self','N','standard_ms','Y');</t>
  </si>
  <si>
    <t>INSERT INTO STB_M_MENU_AUTH_MNG (AUTH_ID, MENU_CD, READ_YN, WRITE_YN, UPDATE_YN, DELETE_YN, POPUP_OPEN_YN, POPUP_READ_YN, POPUP_WRITE_YN, POPUP_UPDATE_YN, POPUP_DELETE_YN, USE_YN, IS_DEL_ABLE , REG_USER ) VALUES('AllAdmin','00000000','Y','Y','Y','Y','Y','Y','Y','Y','Y','Y','N','standard_ms');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</si>
  <si>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</si>
  <si>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</si>
  <si>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VALUES('AllAdmin','71010100','Y','Y','Y','Y','Y','Y','Y','Y','Y','Y','N','standard_ms');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</si>
  <si>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VALUES('AllAdmin','71020000','Y','Y','Y','Y','Y','Y','Y','Y','Y','Y','N','standard_ms');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</si>
  <si>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VALUES('AllAdmin','71020100','Y','Y','Y','Y','Y','Y','Y','Y','Y','Y','N','standard_ms');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</si>
  <si>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VALUES('AllAdmin','71020200','Y','Y','Y','Y','Y','Y','Y','Y','Y','Y','N','standard_ms');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</si>
  <si>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VALUES('AllAdmin','71020300','Y','Y','Y','Y','Y','Y','Y','Y','Y','Y','N','standard_ms');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</si>
  <si>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VALUES('AllAdmin','71030000','Y','Y','Y','Y','Y','Y','Y','Y','Y','Y','N','standard_ms');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</si>
  <si>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VALUES('AllAdmin','71030100','Y','Y','Y','Y','Y','Y','Y','Y','Y','Y','N','standard_ms');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</si>
  <si>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VALUES('AllAdmin','71030200','Y','Y','Y','Y','Y','Y','Y','Y','Y','Y','N','standard_ms');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</si>
  <si>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VALUES('AllAdmin','71030300','Y','Y','Y','Y','Y','Y','Y','Y','Y','Y','N','standard_ms');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</si>
  <si>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VALUES('AllAdmin','71040000','Y','Y','Y','Y','Y','Y','Y','Y','Y','Y','N','standard_ms');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</si>
  <si>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VALUES('AllAdmin','71040100','Y','Y','Y','Y','Y','Y','Y','Y','Y','Y','N','standard_ms');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</si>
  <si>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VALUES('AllAdmin','71050000','Y','Y','Y','Y','Y','Y','Y','Y','Y','Y','N','standard_ms');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</si>
  <si>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VALUES('AllAdmin','71050100','Y','Y','Y','Y','Y','Y','Y','Y','Y','Y','N','standard_ms');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</si>
  <si>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VALUES('AllAdmin','71050200','Y','Y','Y','Y','Y','Y','Y','Y','Y','Y','N','standard_ms');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</si>
  <si>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VALUES('AllAdmin','71050300','Y','Y','Y','Y','Y','Y','Y','Y','Y','Y','N','standard_ms');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</si>
  <si>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VALUES('AllAdmin','71060000','Y','Y','Y','Y','Y','Y','Y','Y','Y','Y','N','standard_ms');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</si>
  <si>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VALUES('AllAdmin','71070000','Y','Y','Y','Y','Y','Y','Y','Y','Y','Y','N','standard_ms');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</si>
  <si>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VALUES('AllAdmin','71070100','Y','Y','Y','Y','Y','Y','Y','Y','Y','Y','N','standard_ms');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</si>
  <si>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VALUES('AllAdmin','71070200','Y','Y','Y','Y','Y','Y','Y','Y','Y','Y','N','standard_ms');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</si>
  <si>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VALUES('AllAdmin','71070300','Y','Y','Y','Y','Y','Y','Y','Y','Y','Y','N','standard_ms');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</si>
  <si>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VALUES('AllAdmin','71080000','Y','Y','Y','Y','Y','Y','Y','Y','Y','Y','N','standard_ms');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</si>
  <si>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VALUES('AllAdmin','71080100','Y','Y','Y','Y','Y','Y','Y','Y','Y','Y','N','standard_ms');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</si>
  <si>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VALUES('AllAdmin','71080200','Y','Y','Y','Y','Y','Y','Y','Y','Y','Y','N','standard_ms');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</si>
  <si>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VALUES('AllAdmin','71080300','Y','Y','Y','Y','Y','Y','Y','Y','Y','Y','N','standard_ms');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</si>
  <si>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VALUES('AllAdmin','71090000','Y','Y','Y','Y','Y','Y','Y','Y','Y','Y','N','standard_ms');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</si>
  <si>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VALUES('AllAdmin','71090100','Y','Y','Y','Y','Y','Y','Y','Y','Y','Y','N','standard_ms');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</si>
  <si>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VALUES('AllAdmin','71090200','Y','Y','Y','Y','Y','Y','Y','Y','Y','Y','N','standard_ms');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</si>
  <si>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VALUES('AllAdmin','71090300','Y','Y','Y','Y','Y','Y','Y','Y','Y','Y','N','standard_ms');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</si>
  <si>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VALUES('AllAdmin','71090400','Y','Y','Y','Y','Y','Y','Y','Y','Y','Y','N','standard_ms');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</si>
  <si>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</si>
  <si>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VALUES('AllAdmin','71100100','Y','Y','Y','Y','Y','Y','Y','Y','Y','Y','N','standard_ms');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</si>
  <si>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VALUES('AllAdmin','71100200','Y','Y','Y','Y','Y','Y','Y','Y','Y','Y','N','standard_ms');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</si>
  <si>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VALUES('AllAdmin','71100300','Y','Y','Y','Y','Y','Y','Y','Y','Y','Y','N','standard_ms');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</si>
  <si>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</si>
  <si>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VALUES('AllAdmin','71110100','Y','Y','Y','Y','Y','Y','Y','Y','Y','Y','N','standard_ms');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</si>
  <si>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VALUES('AllAdmin','71110200','Y','Y','Y','Y','Y','Y','Y','Y','Y','Y','N','standard_ms');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</si>
  <si>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VALUES('AllAdmin','71110201','Y','Y','Y','Y','Y','Y','Y','Y','Y','Y','N','standard_ms');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</si>
  <si>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VALUES('AllAdmin','71110300','Y','Y','Y','Y','Y','Y','Y','Y','Y','Y','N','standard_ms');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</si>
  <si>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VALUES('AllAdmin','71110301','Y','Y','Y','Y','Y','Y','Y','Y','Y','Y','N','standard_ms');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</si>
  <si>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VALUES('AllAdmin','72000000','Y','Y','Y','Y','Y','Y','Y','Y','Y','Y','N','standard_ms');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</si>
  <si>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VALUES('AllAdmin','72010000','Y','Y','Y','Y','Y','Y','Y','Y','Y','Y','N','standard_ms');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</si>
  <si>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VALUES('AllAdmin','72010100','Y','Y','Y','Y','Y','Y','Y','Y','Y','Y','N','standard_ms');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</si>
  <si>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VALUES('AllAdmin','72010200','Y','Y','Y','Y','Y','Y','Y','Y','Y','Y','N','standard_ms');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</si>
  <si>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VALUES('AllAdmin','72010300','Y','Y','Y','Y','Y','Y','Y','Y','Y','Y','N','standard_ms');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</si>
  <si>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</si>
  <si>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</si>
  <si>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VALUES('AllAdmin','73010100','Y','Y','Y','Y','Y','Y','Y','Y','Y','Y','N','standard_ms');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</si>
  <si>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VALUES('AllAdmin','73010200','Y','Y','Y','Y','Y','Y','Y','Y','Y','Y','N','standard_ms');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</si>
  <si>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VALUES('AllAdmin','73010300','Y','Y','Y','Y','Y','Y','Y','Y','Y','Y','N','standard_ms');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</si>
  <si>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VALUES('AllAdmin','73020000','Y','Y','Y','Y','Y','Y','Y','Y','Y','Y','N','standard_ms');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</si>
  <si>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VALUES('AllAdmin','73020100','Y','Y','Y','Y','Y','Y','Y','Y','Y','Y','N','standard_ms');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</si>
  <si>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VALUES('AllAdmin','73020200','Y','Y','Y','Y','Y','Y','Y','Y','Y','Y','N','standard_ms');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</si>
  <si>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VALUES('AllAdmin','73020300','Y','Y','Y','Y','Y','Y','Y','Y','Y','Y','N','standard_ms');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</si>
  <si>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</si>
  <si>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</si>
  <si>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</si>
  <si>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VALUES('AllAdmin','74010101','Y','Y','Y','Y','Y','Y','Y','Y','Y','Y','N','standard_ms');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</si>
  <si>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VALUES('AllAdmin','74010102','Y','Y','Y','Y','Y','Y','Y','Y','Y','Y','N','standard_ms');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</si>
  <si>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VALUES('AllAdmin','74010103','Y','Y','Y','Y','Y','Y','Y','Y','Y','Y','N','standard_ms');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</si>
  <si>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</si>
  <si>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VALUES('AllAdmin','74010201','Y','Y','Y','Y','Y','Y','Y','Y','Y','Y','N','standard_ms');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</si>
  <si>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VALUES('AllAdmin','74010202','Y','Y','Y','Y','Y','Y','Y','Y','Y','Y','N','standard_ms');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</si>
  <si>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VALUES('AllAdmin','74010203','Y','Y','Y','Y','Y','Y','Y','Y','Y','Y','N','standard_ms');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</si>
  <si>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VALUES('AllAdmin','74010300','Y','Y','Y','Y','Y','Y','Y','Y','Y','Y','N','standard_ms');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</si>
  <si>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VALUES('AllAdmin','74010301','Y','Y','Y','Y','Y','Y','Y','Y','Y','Y','N','standard_ms');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</si>
  <si>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VALUES('AllAdmin','74010302','Y','Y','Y','Y','Y','Y','Y','Y','Y','Y','N','standard_ms');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</si>
  <si>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VALUES('AllAdmin','74010303','Y','Y','Y','Y','Y','Y','Y','Y','Y','Y','N','standard_ms');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</si>
  <si>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VALUES('AllAdmin','74010400','Y','Y','Y','Y','Y','Y','Y','Y','Y','Y','N','standard_ms');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</si>
  <si>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VALUES('AllAdmin','74010401','Y','Y','Y','Y','Y','Y','Y','Y','Y','Y','N','standard_ms');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</si>
  <si>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VALUES('AllAdmin','74010402','Y','Y','Y','Y','Y','Y','Y','Y','Y','Y','N','standard_ms');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</si>
  <si>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VALUES('AllAdmin','74010403','Y','Y','Y','Y','Y','Y','Y','Y','Y','Y','N','standard_ms');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</si>
  <si>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VALUES('AllAdmin','74010500','Y','Y','Y','Y','Y','Y','Y','Y','Y','Y','N','standard_ms');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</si>
  <si>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VALUES('AllAdmin','74010501','Y','Y','Y','Y','Y','Y','Y','Y','Y','Y','N','standard_ms');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</si>
  <si>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VALUES('AllAdmin','74010502','Y','Y','Y','Y','Y','Y','Y','Y','Y','Y','N','standard_ms');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</si>
  <si>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VALUES('AllAdmin','74010503','Y','Y','Y','Y','Y','Y','Y','Y','Y','Y','N','standard_ms');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</si>
  <si>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VALUES('AllAdmin','74010600','Y','Y','Y','Y','Y','Y','Y','Y','Y','Y','N','standard_ms');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</si>
  <si>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VALUES('AllAdmin','74010601','Y','Y','Y','Y','Y','Y','Y','Y','Y','Y','N','standard_ms');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</si>
  <si>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VALUES('AllAdmin','74010602','Y','Y','Y','Y','Y','Y','Y','Y','Y','Y','N','standard_ms');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</si>
  <si>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VALUES('AllAdmin','74010603','Y','Y','Y','Y','Y','Y','Y','Y','Y','Y','N','standard_ms');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</si>
  <si>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VALUES('AllAdmin','74010700','Y','Y','Y','Y','Y','Y','Y','Y','Y','Y','N','standard_ms');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</si>
  <si>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VALUES('AllAdmin','74010701','Y','Y','Y','Y','Y','Y','Y','Y','Y','Y','N','standard_ms');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</si>
  <si>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VALUES('AllAdmin','74010702','Y','Y','Y','Y','Y','Y','Y','Y','Y','Y','N','standard_ms');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</si>
  <si>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VALUES('AllAdmin','74010703','Y','Y','Y','Y','Y','Y','Y','Y','Y','Y','N','standard_ms');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</si>
  <si>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VALUES('AllAdmin','74010704','Y','Y','Y','Y','Y','Y','Y','Y','Y','Y','N','standard_ms');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</si>
  <si>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VALUES('AllAdmin','74020000','Y','Y','Y','Y','Y','Y','Y','Y','Y','Y','N','standard_ms');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</si>
  <si>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VALUES('AllAdmin','75000000','Y','Y','Y','Y','Y','Y','Y','Y','Y','Y','N','standard_ms');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</si>
  <si>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VALUES('AllAdmin','75010000','Y','Y','Y','Y','Y','Y','Y','Y','Y','Y','N','standard_ms');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</si>
  <si>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VALUES('AllAdmin','75020000','Y','Y','Y','Y','Y','Y','Y','Y','Y','Y','N','standard_ms');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</si>
  <si>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VALUES('AllAdmin','75030000','Y','Y','Y','Y','Y','Y','Y','Y','Y','Y','N','standard_ms');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</si>
  <si>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VALUES('AllAdmin','76000000','Y','Y','Y','Y','Y','Y','Y','Y','Y','Y','N','standard_ms');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</si>
  <si>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VALUES('AllAdmin','77000000','Y','Y','Y','Y','Y','Y','Y','Y','Y','Y','N','standard_ms');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</si>
  <si>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VALUES('AllAdmin','01000000','Y','Y','Y','Y','Y','Y','Y','Y','Y','Y','N','standard_ms');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</si>
  <si>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VALUES('AllAdmin','01010000','Y','Y','Y','Y','Y','Y','Y','Y','Y','Y','N','standard_ms');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</si>
  <si>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VALUES('AllAdmin','01020000','Y','Y','Y','Y','Y','Y','Y','Y','Y','Y','N','standard_ms');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</si>
  <si>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VALUES('AllAdmin','02000000','Y','Y','Y','Y','Y','Y','Y','Y','Y','Y','N','standard_ms');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</si>
  <si>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VALUES('AllAdmin','02010000','Y','Y','Y','Y','Y','Y','Y','Y','Y','Y','N','standard_ms');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</si>
  <si>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VALUES('AllAdmin','02010100','Y','Y','Y','Y','Y','Y','Y','Y','Y','Y','N','standard_ms');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</si>
  <si>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VALUES('AllAdmin','02010200','Y','Y','Y','Y','Y','Y','Y','Y','Y','Y','N','standard_ms');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</si>
  <si>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VALUES('AllAdmin','02020000','Y','Y','Y','Y','Y','Y','Y','Y','Y','Y','N','standard_ms');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</si>
  <si>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VALUES('AllAdmin','02020100','Y','Y','Y','Y','Y','Y','Y','Y','Y','Y','N','standard_ms');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</si>
  <si>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VALUES('AllAdmin','02020200','Y','Y','Y','Y','Y','Y','Y','Y','Y','Y','N','standard_ms');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</si>
  <si>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VALUES('AllAdmin','02030000','Y','Y','Y','Y','Y','Y','Y','Y','Y','Y','N','standard_ms');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</si>
  <si>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VALUES('AllAdmin','02030100','Y','Y','Y','Y','Y','Y','Y','Y','Y','Y','N','standard_ms');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</si>
  <si>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VALUES('AllAdmin','02030200','Y','Y','Y','Y','Y','Y','Y','Y','Y','Y','N','standard_ms');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</si>
  <si>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VALUES('AllAdmin','02040000','Y','Y','Y','Y','Y','Y','Y','Y','Y','Y','N','standard_ms');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</si>
  <si>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VALUES('AllAdmin','02040100','Y','Y','Y','Y','Y','Y','Y','Y','Y','Y','N','standard_ms');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</si>
  <si>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VALUES('AllAdmin','02040200','Y','Y','Y','Y','Y','Y','Y','Y','Y','Y','N','standard_ms');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</si>
  <si>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VALUES('AllAdmin','02050000','Y','Y','Y','Y','Y','Y','Y','Y','Y','Y','N','standard_ms');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</si>
  <si>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VALUES('AllAdmin','02050100','Y','Y','Y','Y','Y','Y','Y','Y','Y','Y','N','standard_ms');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</si>
  <si>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VALUES('AllAdmin','02050200','Y','Y','Y','Y','Y','Y','Y','Y','Y','Y','N','standard_ms');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</si>
  <si>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VALUES('AllAdmin','02060000','Y','Y','Y','Y','Y','Y','Y','Y','Y','Y','N','standard_ms');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</si>
  <si>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VALUES('AllAdmin','02060100','Y','Y','Y','Y','Y','Y','Y','Y','Y','Y','N','standard_ms');</t>
  </si>
  <si>
    <t>INSERT INTO STB_M_MENU_AUTH_MNG (AUTH_ID, MENU_CD, READ_YN, WRITE_YN, UPDATE_YN, DELETE_YN, POPUP_OPEN_YN, POPUP_READ_YN, POPUP_WRITE_YN, POPUP_UPDATE_YN, POPUP_DELETE_YN, USE_YN, IS_DEL_ABLE , REG_USER ) VALUES('AllAdmin','02060200','Y','Y','Y','Y','Y','Y','Y','Y','Y','Y','N','standard_ms');</t>
  </si>
  <si>
    <t>71030301</t>
    <phoneticPr fontId="1" type="noConversion"/>
  </si>
  <si>
    <t>게시판찾기 팝업</t>
    <phoneticPr fontId="1" type="noConversion"/>
  </si>
  <si>
    <t>/ma/system/menu/boardFuncPopup.do</t>
    <phoneticPr fontId="1" type="noConversion"/>
  </si>
  <si>
    <t>.popLayout:</t>
    <phoneticPr fontId="1" type="noConversion"/>
  </si>
  <si>
    <t>/ma/system/menu/boardFuncPopup</t>
    <phoneticPr fontId="1" type="noConversion"/>
  </si>
  <si>
    <t>MENU_CD</t>
    <phoneticPr fontId="1" type="noConversion"/>
  </si>
  <si>
    <t>INSERT INTO STB_B_MENU_MNG(MENU_DIV_CD, MENU_CD ,UPR_MENU_CD, KOR_NM, URL_ADDR, PAGE_CL, MENU_PARAM,MENU_CSS, LAY_OUT, RTN_URL , SORT_NO , MENU_COMMENT, MENU_TARGET, IS_DEL_ABLE, REG_USER, USE_YN ) VALUES('MA','71030301','71030300','게시판찾기 팝업','/ma/system/menu/boardFuncPopup.do','','{}','','.popLayout:','/ma/system/menu/boardFuncPopup','10','{}','_self','N','standard_ms','Y');</t>
  </si>
  <si>
    <t>INSERT INTO STB_M_MENU_AUTH_MNG (AUTH_ID, MENU_CD, READ_YN, WRITE_YN, UPDATE_YN, DELETE_YN, POPUP_OPEN_YN, POPUP_READ_YN, POPUP_WRITE_YN, POPUP_UPDATE_YN, POPUP_DELETE_YN, USE_YN, IS_DEL_ABLE , REG_USER ) VALUES('AllAdmin','71030301','Y','Y','Y','Y','Y','Y','Y','Y','Y','Y','N','standard_ms');</t>
  </si>
  <si>
    <t>메뉴_CD</t>
    <phoneticPr fontId="1" type="noConversion"/>
  </si>
  <si>
    <t>INSERT INTO STB_B_MENU_MNG(MENU_DIV_CD, MENU_CD ,UPR_MENU_CD, KOR_NM, URL_ADDR, PAGE_CL, MENU_PARAM,MENU_CSS, LAY_OUT, RTN_URL , SORT_NO , MENU_COMMENT, MENU_TARGET, IS_DEL_ABLE, REG_USER, USE_YN ) VALUES('MA','71010000','71000000','시스템운영 정책','/ma/system/basic/form.do','MAIN','{"testKey1":"testVal1", "testKey2":"testVal2"}','','.mLayout:','/ma/system/basic/form','10','{"testKey1":"testVal1", "testKey2":"testVal2"}','_self','N','standard_ms','Y');</t>
    <phoneticPr fontId="1" type="noConversion"/>
  </si>
  <si>
    <t>POPUP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</si>
</sst>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u/>
      <sz val="11"/>
      <color theme="1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4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4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4" borderId="2" xfId="0" applyFill="1" applyBorder="1">
      <alignment vertical="center"/>
    </xf>
    <xf numFmtId="49" fontId="0" fillId="0" borderId="0" xfId="0" applyNumberFormat="1">
      <alignment vertical="center"/>
    </xf>
    <xf numFmtId="49" fontId="0" fillId="4" borderId="1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3" fillId="0" borderId="0" xfId="1">
      <alignment vertical="center"/>
    </xf>
    <xf numFmtId="0" fontId="0" fillId="8" borderId="0" xfId="0" applyFill="1">
      <alignment vertical="center"/>
    </xf>
    <xf numFmtId="0" fontId="6" fillId="0" borderId="0" xfId="0" applyFont="1">
      <alignment vertical="center"/>
    </xf>
    <xf numFmtId="0" fontId="0" fillId="3" borderId="4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9" borderId="1" xfId="0" applyFill="1" applyBorder="1">
      <alignment vertical="center"/>
    </xf>
    <xf numFmtId="49" fontId="0" fillId="9" borderId="1" xfId="0" applyNumberFormat="1" applyFill="1" applyBorder="1" applyAlignment="1">
      <alignment horizontal="center" vertical="center"/>
    </xf>
    <xf numFmtId="49" fontId="0" fillId="4" borderId="2" xfId="0" applyNumberFormat="1" applyFill="1" applyBorder="1">
      <alignment vertical="center"/>
    </xf>
    <xf numFmtId="49" fontId="0" fillId="3" borderId="4" xfId="0" applyNumberFormat="1" applyFill="1" applyBorder="1">
      <alignment vertical="center"/>
    </xf>
    <xf numFmtId="49" fontId="0" fillId="10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1" borderId="1" xfId="0" applyFill="1" applyBorder="1">
      <alignment vertical="center"/>
    </xf>
    <xf numFmtId="49" fontId="0" fillId="11" borderId="1" xfId="0" applyNumberForma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nnam kim" id="{156747A1-9FDE-4052-8317-F90A2B2CB871}" userId="28b2b62f197e2c08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15T00:19:54.68" personId="{156747A1-9FDE-4052-8317-F90A2B2CB871}" id="{A86A8E0C-257A-4758-BDD4-E57B372CD1C8}">
    <text>open1010!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1-15T00:19:54.68" personId="{156747A1-9FDE-4052-8317-F90A2B2CB871}" id="{75A0B596-4D6C-4110-93B3-CB3DB73D320F}">
    <text>open1010!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6-01-15T00:19:54.68" personId="{156747A1-9FDE-4052-8317-F90A2B2CB871}" id="{E2CB2FE2-2B92-47AD-B54A-83A8410EFB1C}">
    <text>open1010!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ccc@opennote.co.kr" TargetMode="External"/><Relationship Id="rId2" Type="http://schemas.openxmlformats.org/officeDocument/2006/relationships/hyperlink" Target="mailto:bbbb@opennote.co.kr" TargetMode="External"/><Relationship Id="rId1" Type="http://schemas.openxmlformats.org/officeDocument/2006/relationships/hyperlink" Target="mailto:aaaa@opennote.co.kr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BDD-3FCD-4B21-971B-23E999146945}">
  <dimension ref="A1:XET120"/>
  <sheetViews>
    <sheetView tabSelected="1" zoomScale="85" zoomScaleNormal="85" workbookViewId="0">
      <selection activeCell="H8" sqref="H8"/>
    </sheetView>
  </sheetViews>
  <sheetFormatPr defaultRowHeight="17.399999999999999" x14ac:dyDescent="0.4"/>
  <cols>
    <col min="1" max="1" width="11" bestFit="1" customWidth="1"/>
    <col min="2" max="2" width="14.69921875" bestFit="1" customWidth="1"/>
    <col min="3" max="3" width="10.3984375" bestFit="1" customWidth="1"/>
    <col min="5" max="5" width="21.3984375" bestFit="1" customWidth="1"/>
    <col min="6" max="6" width="11.69921875" bestFit="1" customWidth="1"/>
    <col min="7" max="7" width="48.69921875" customWidth="1"/>
    <col min="8" max="8" width="17.09765625" bestFit="1" customWidth="1"/>
    <col min="9" max="9" width="6.5" bestFit="1" customWidth="1"/>
    <col min="10" max="10" width="12.19921875" bestFit="1" customWidth="1"/>
    <col min="11" max="11" width="40.3984375" bestFit="1" customWidth="1"/>
    <col min="12" max="12" width="21.8984375" customWidth="1"/>
    <col min="13" max="13" width="15.19921875" bestFit="1" customWidth="1"/>
    <col min="14" max="14" width="11.3984375" bestFit="1" customWidth="1"/>
    <col min="15" max="15" width="37.5" bestFit="1" customWidth="1"/>
    <col min="16" max="16" width="15" bestFit="1" customWidth="1"/>
    <col min="17" max="18" width="16.3984375" bestFit="1" customWidth="1"/>
  </cols>
  <sheetData>
    <row r="1" spans="1:16374" x14ac:dyDescent="0.4">
      <c r="A1" s="3" t="s">
        <v>43</v>
      </c>
      <c r="B1" s="3" t="s">
        <v>45</v>
      </c>
      <c r="C1" s="4" t="s">
        <v>46</v>
      </c>
      <c r="D1" s="4" t="s">
        <v>46</v>
      </c>
      <c r="E1" s="3" t="s">
        <v>48</v>
      </c>
      <c r="F1" s="3" t="s">
        <v>48</v>
      </c>
      <c r="G1" s="3" t="s">
        <v>225</v>
      </c>
      <c r="H1" s="3" t="s">
        <v>45</v>
      </c>
      <c r="I1" s="3"/>
      <c r="J1" s="3" t="s">
        <v>44</v>
      </c>
      <c r="K1" s="3" t="s">
        <v>48</v>
      </c>
      <c r="L1" s="3" t="s">
        <v>49</v>
      </c>
      <c r="M1" s="3" t="s">
        <v>145</v>
      </c>
      <c r="N1" s="3" t="s">
        <v>45</v>
      </c>
      <c r="O1" s="3" t="s">
        <v>48</v>
      </c>
      <c r="P1" s="3" t="s">
        <v>45</v>
      </c>
      <c r="Q1" s="3" t="s">
        <v>50</v>
      </c>
      <c r="R1" s="3" t="s">
        <v>50</v>
      </c>
      <c r="S1" s="31" t="s">
        <v>219</v>
      </c>
      <c r="T1" s="32" t="s">
        <v>218</v>
      </c>
    </row>
    <row r="2" spans="1:16374" x14ac:dyDescent="0.4">
      <c r="A2" s="1" t="s">
        <v>5</v>
      </c>
      <c r="B2" s="1" t="s">
        <v>7</v>
      </c>
      <c r="C2" s="5" t="s">
        <v>1128</v>
      </c>
      <c r="D2" s="5" t="s">
        <v>3</v>
      </c>
      <c r="E2" s="1" t="s">
        <v>15</v>
      </c>
      <c r="F2" s="1" t="s">
        <v>16</v>
      </c>
      <c r="G2" s="1" t="s">
        <v>226</v>
      </c>
      <c r="H2" s="1" t="s">
        <v>222</v>
      </c>
      <c r="I2" s="1" t="s">
        <v>65</v>
      </c>
      <c r="J2" s="1" t="s">
        <v>10</v>
      </c>
      <c r="K2" s="1" t="s">
        <v>4</v>
      </c>
      <c r="L2" s="1" t="s">
        <v>13</v>
      </c>
      <c r="M2" s="1" t="s">
        <v>564</v>
      </c>
      <c r="N2" s="1" t="s">
        <v>357</v>
      </c>
      <c r="O2" s="1" t="s">
        <v>363</v>
      </c>
      <c r="P2" s="1" t="s">
        <v>19</v>
      </c>
      <c r="Q2" s="1" t="s">
        <v>21</v>
      </c>
      <c r="R2" s="1" t="s">
        <v>11</v>
      </c>
      <c r="S2" s="31"/>
      <c r="T2" s="33"/>
    </row>
    <row r="3" spans="1:16374" x14ac:dyDescent="0.4">
      <c r="A3" s="2" t="s">
        <v>6</v>
      </c>
      <c r="B3" s="2" t="s">
        <v>220</v>
      </c>
      <c r="C3" s="9" t="s">
        <v>1125</v>
      </c>
      <c r="D3" s="9" t="s">
        <v>8</v>
      </c>
      <c r="E3" s="2" t="s">
        <v>17</v>
      </c>
      <c r="F3" s="2" t="s">
        <v>18</v>
      </c>
      <c r="G3" s="2" t="s">
        <v>224</v>
      </c>
      <c r="H3" s="2" t="s">
        <v>221</v>
      </c>
      <c r="I3" s="2" t="s">
        <v>66</v>
      </c>
      <c r="J3" s="2" t="s">
        <v>9</v>
      </c>
      <c r="K3" s="2" t="s">
        <v>223</v>
      </c>
      <c r="L3" s="2" t="s">
        <v>14</v>
      </c>
      <c r="M3" s="2" t="s">
        <v>563</v>
      </c>
      <c r="N3" s="2" t="s">
        <v>358</v>
      </c>
      <c r="O3" s="2" t="s">
        <v>362</v>
      </c>
      <c r="P3" s="2" t="s">
        <v>20</v>
      </c>
      <c r="Q3" s="2" t="s">
        <v>22</v>
      </c>
      <c r="R3" s="2" t="s">
        <v>12</v>
      </c>
      <c r="S3" s="31"/>
      <c r="T3" s="33"/>
    </row>
    <row r="4" spans="1:16374" x14ac:dyDescent="0.4">
      <c r="A4" s="10"/>
      <c r="B4" s="10" t="s">
        <v>2</v>
      </c>
      <c r="C4" s="11" t="s">
        <v>772</v>
      </c>
      <c r="D4" s="12"/>
      <c r="E4" s="10" t="s">
        <v>361</v>
      </c>
      <c r="F4" s="10"/>
      <c r="G4" s="10" t="s">
        <v>795</v>
      </c>
      <c r="H4" s="10" t="s">
        <v>67</v>
      </c>
      <c r="I4" s="10">
        <v>0</v>
      </c>
      <c r="J4" s="10">
        <v>0</v>
      </c>
      <c r="K4" s="10"/>
      <c r="L4" s="10"/>
      <c r="M4" s="10"/>
      <c r="N4" s="10"/>
      <c r="O4" s="10"/>
      <c r="P4" s="10"/>
      <c r="Q4" s="10" t="s">
        <v>120</v>
      </c>
      <c r="R4" s="10" t="s">
        <v>144</v>
      </c>
      <c r="S4" s="8" t="str">
        <f>"INSERT INTO STB_B_MENU_MNG(MENU_DIV_CD, MENU_CD ,UPR_MENU_CD, KOR_NM, URL_ADDR, PAGE_CL, MENU_PARAM,MENU_CSS, LAY_OUT, RTN_URL , SORT_NO , MENU_COMMENT, MENU_TARGET, IS_DEL_ABLE, REG_USER, USE_YN ) VALUES('"&amp;B4&amp;"','"&amp;C4&amp;"','"&amp;D4&amp;"','"&amp;E4&amp;"','"&amp;K4&amp;"','"&amp;H4&amp;"','"&amp;L4&amp;"','"&amp;M4&amp;"','"&amp;N4&amp;"','"&amp;O4&amp;"','"&amp;J4&amp;"','"&amp;L4&amp;"','"&amp;P4&amp;"','"&amp;Q4&amp;"','standard_ms','"&amp;R4&amp;"');"</f>
        <v>INSERT INTO STB_B_MENU_MNG(MENU_DIV_CD, MENU_CD ,UPR_MENU_CD, KOR_NM, URL_ADDR, PAGE_CL, MENU_PARAM,MENU_CSS, LAY_OUT, RTN_URL , SORT_NO , MENU_COMMENT, MENU_TARGET, IS_DEL_ABLE, REG_USER, USE_YN ) VALUES('MA','00000000','','Home','','ROOT','','','','','0','','','N','standard_ms','Y');</v>
      </c>
      <c r="T4" s="22" t="s">
        <v>889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</row>
    <row r="5" spans="1:16374" x14ac:dyDescent="0.4">
      <c r="A5" s="26"/>
      <c r="B5" s="26" t="s">
        <v>2</v>
      </c>
      <c r="C5" s="27" t="s">
        <v>796</v>
      </c>
      <c r="D5" s="27" t="s">
        <v>772</v>
      </c>
      <c r="E5" s="26" t="s">
        <v>51</v>
      </c>
      <c r="F5" s="26"/>
      <c r="G5" s="26" t="s">
        <v>68</v>
      </c>
      <c r="H5" s="26" t="s">
        <v>254</v>
      </c>
      <c r="I5" s="26">
        <v>1</v>
      </c>
      <c r="J5" s="26">
        <v>10</v>
      </c>
      <c r="K5" s="26"/>
      <c r="L5" s="13"/>
      <c r="M5" s="13" t="s">
        <v>565</v>
      </c>
      <c r="N5" s="13"/>
      <c r="O5" s="13"/>
      <c r="P5" s="13"/>
      <c r="Q5" s="13" t="s">
        <v>120</v>
      </c>
      <c r="R5" s="13" t="s">
        <v>144</v>
      </c>
      <c r="S5" s="8" t="str">
        <f t="shared" ref="S5:S68" si="0">"INSERT INTO STB_B_MENU_MNG(MENU_DIV_CD, MENU_CD ,UPR_MENU_CD, KOR_NM, URL_ADDR, PAGE_CL, MENU_PARAM,MENU_CSS, LAY_OUT, RTN_URL , SORT_NO , MENU_COMMENT, MENU_TARGET, IS_DEL_ABLE, REG_USER, USE_YN ) VALUES('"&amp;B5&amp;"','"&amp;C5&amp;"','"&amp;D5&amp;"','"&amp;E5&amp;"','"&amp;K5&amp;"','"&amp;H5&amp;"','"&amp;L5&amp;"','"&amp;M5&amp;"','"&amp;N5&amp;"','"&amp;O5&amp;"','"&amp;J5&amp;"','"&amp;L5&amp;"','"&amp;P5&amp;"','"&amp;Q5&amp;"','standard_ms','"&amp;R5&amp;"');"</f>
        <v>INSERT INTO STB_B_MENU_MNG(MENU_DIV_CD, MENU_CD ,UPR_MENU_CD, KOR_NM, URL_ADDR, PAGE_CL, MENU_PARAM,MENU_CSS, LAY_OUT, RTN_URL , SORT_NO , MENU_COMMENT, MENU_TARGET, IS_DEL_ABLE, REG_USER, USE_YN ) VALUES('MA','71000000','00000000','시스템관리','','MAIN','','i01','','','10','','','N','standard_ms','Y');</v>
      </c>
      <c r="T5" t="s">
        <v>890</v>
      </c>
    </row>
    <row r="6" spans="1:16374" x14ac:dyDescent="0.4">
      <c r="A6" s="26"/>
      <c r="B6" s="26" t="s">
        <v>2</v>
      </c>
      <c r="C6" s="27" t="s">
        <v>797</v>
      </c>
      <c r="D6" s="27" t="s">
        <v>796</v>
      </c>
      <c r="E6" s="26" t="s">
        <v>417</v>
      </c>
      <c r="F6" s="26" t="s">
        <v>111</v>
      </c>
      <c r="G6" s="26" t="s">
        <v>69</v>
      </c>
      <c r="H6" s="26" t="s">
        <v>254</v>
      </c>
      <c r="I6" s="26">
        <v>2</v>
      </c>
      <c r="J6" s="26">
        <v>10</v>
      </c>
      <c r="K6" s="26" t="s">
        <v>330</v>
      </c>
      <c r="L6" s="13" t="s">
        <v>562</v>
      </c>
      <c r="M6" s="13"/>
      <c r="N6" s="13" t="s">
        <v>359</v>
      </c>
      <c r="O6" s="26" t="s">
        <v>364</v>
      </c>
      <c r="P6" s="13" t="s">
        <v>119</v>
      </c>
      <c r="Q6" s="13" t="s">
        <v>120</v>
      </c>
      <c r="R6" s="13" t="s">
        <v>144</v>
      </c>
      <c r="S6" s="8" t="str">
        <f t="shared" si="0"/>
        <v>INSERT INTO STB_B_MENU_MNG(MENU_DIV_CD, MENU_CD ,UPR_MENU_CD, KOR_NM, URL_ADDR, PAGE_CL, MENU_PARAM,MENU_CSS, LAY_OUT, RTN_URL , SORT_NO , MENU_COMMENT, MENU_TARGET, IS_DEL_ABLE, REG_USER, USE_YN ) VALUES('MA','71010000','71000000','시스템운영 정책','/ma/system/basic/form.do','MAIN','{"testKey1":"testVal1", "testKey2":"testVal2"}','','.mLayout:','/ma/system/basic/form','10','{"testKey1":"testVal1", "testKey2":"testVal2"}','_self','N','standard_ms','Y');</v>
      </c>
      <c r="T6" t="s">
        <v>1129</v>
      </c>
    </row>
    <row r="7" spans="1:16374" x14ac:dyDescent="0.4">
      <c r="A7" s="26"/>
      <c r="B7" s="26" t="s">
        <v>2</v>
      </c>
      <c r="C7" s="27" t="s">
        <v>798</v>
      </c>
      <c r="D7" s="27" t="s">
        <v>797</v>
      </c>
      <c r="E7" s="13" t="s">
        <v>419</v>
      </c>
      <c r="F7" s="13" t="s">
        <v>111</v>
      </c>
      <c r="G7" s="13" t="s">
        <v>86</v>
      </c>
      <c r="H7" s="13" t="s">
        <v>255</v>
      </c>
      <c r="I7" s="13">
        <v>3</v>
      </c>
      <c r="J7" s="13">
        <v>10</v>
      </c>
      <c r="K7" s="13" t="s">
        <v>331</v>
      </c>
      <c r="L7" s="13" t="s">
        <v>561</v>
      </c>
      <c r="M7" s="13"/>
      <c r="N7" s="13" t="s">
        <v>359</v>
      </c>
      <c r="O7" s="13" t="s">
        <v>365</v>
      </c>
      <c r="P7" s="13" t="s">
        <v>119</v>
      </c>
      <c r="Q7" s="13" t="s">
        <v>120</v>
      </c>
      <c r="R7" s="13" t="s">
        <v>144</v>
      </c>
      <c r="S7" s="8" t="str">
        <f t="shared" si="0"/>
        <v>INSERT INTO STB_B_MENU_MNG(MENU_DIV_CD, MENU_CD ,UPR_MENU_CD, KOR_NM, URL_ADDR, PAGE_CL, MENU_PARAM,MENU_CSS, LAY_OUT, RTN_URL , SORT_NO , MENU_COMMENT, MENU_TARGET, IS_DEL_ABLE, REG_USER, USE_YN ) VALUES('MA','71010100','71010000','시스템운영 정책 수정','/ma/system/basic/update.do','SUB','{}','','.mLayout:','/ma/system/basic/update','10','{}','_self','N','standard_ms','Y');</v>
      </c>
      <c r="T7" t="s">
        <v>891</v>
      </c>
    </row>
    <row r="8" spans="1:16374" x14ac:dyDescent="0.4">
      <c r="A8" s="26"/>
      <c r="B8" s="26" t="s">
        <v>2</v>
      </c>
      <c r="C8" s="27" t="s">
        <v>799</v>
      </c>
      <c r="D8" s="27" t="s">
        <v>796</v>
      </c>
      <c r="E8" s="26" t="s">
        <v>54</v>
      </c>
      <c r="F8" s="26"/>
      <c r="G8" s="26" t="s">
        <v>70</v>
      </c>
      <c r="H8" s="26" t="s">
        <v>254</v>
      </c>
      <c r="I8" s="26">
        <v>2</v>
      </c>
      <c r="J8" s="26">
        <v>20</v>
      </c>
      <c r="K8" s="26" t="s">
        <v>332</v>
      </c>
      <c r="L8" s="13" t="s">
        <v>561</v>
      </c>
      <c r="M8" s="13"/>
      <c r="N8" s="13" t="s">
        <v>359</v>
      </c>
      <c r="O8" s="26" t="s">
        <v>366</v>
      </c>
      <c r="P8" s="13" t="s">
        <v>119</v>
      </c>
      <c r="Q8" s="13" t="s">
        <v>120</v>
      </c>
      <c r="R8" s="13" t="s">
        <v>144</v>
      </c>
      <c r="S8" s="8" t="str">
        <f t="shared" si="0"/>
        <v>INSERT INTO STB_B_MENU_MNG(MENU_DIV_CD, MENU_CD ,UPR_MENU_CD, KOR_NM, URL_ADDR, PAGE_CL, MENU_PARAM,MENU_CSS, LAY_OUT, RTN_URL , SORT_NO , MENU_COMMENT, MENU_TARGET, IS_DEL_ABLE, REG_USER, USE_YN ) VALUES('MA','71020000','71000000','권한관리','/ma/system/auth/list.do','MAIN','{}','','.mLayout:','/ma/system/auth/list','20','{}','_self','N','standard_ms','Y');</v>
      </c>
      <c r="T8" t="s">
        <v>892</v>
      </c>
    </row>
    <row r="9" spans="1:16374" x14ac:dyDescent="0.4">
      <c r="A9" s="26"/>
      <c r="B9" s="26" t="s">
        <v>2</v>
      </c>
      <c r="C9" s="27" t="s">
        <v>800</v>
      </c>
      <c r="D9" s="27" t="s">
        <v>799</v>
      </c>
      <c r="E9" s="13" t="s">
        <v>60</v>
      </c>
      <c r="F9" s="13"/>
      <c r="G9" s="13" t="s">
        <v>425</v>
      </c>
      <c r="H9" s="13" t="s">
        <v>255</v>
      </c>
      <c r="I9" s="13">
        <v>3</v>
      </c>
      <c r="J9" s="13">
        <v>10</v>
      </c>
      <c r="K9" s="13" t="s">
        <v>333</v>
      </c>
      <c r="L9" s="13" t="s">
        <v>561</v>
      </c>
      <c r="M9" s="13"/>
      <c r="N9" s="13" t="s">
        <v>359</v>
      </c>
      <c r="O9" s="13" t="s">
        <v>367</v>
      </c>
      <c r="P9" s="13" t="s">
        <v>119</v>
      </c>
      <c r="Q9" s="13" t="s">
        <v>120</v>
      </c>
      <c r="R9" s="13" t="s">
        <v>144</v>
      </c>
      <c r="S9" s="8" t="str">
        <f t="shared" si="0"/>
        <v>INSERT INTO STB_B_MENU_MNG(MENU_DIV_CD, MENU_CD ,UPR_MENU_CD, KOR_NM, URL_ADDR, PAGE_CL, MENU_PARAM,MENU_CSS, LAY_OUT, RTN_URL , SORT_NO , MENU_COMMENT, MENU_TARGET, IS_DEL_ABLE, REG_USER, USE_YN ) VALUES('MA','71020100','71020000','권한 조회','/ma/system/auth/view.do','SUB','{}','','.mLayout:','/ma/system/auth/view','10','{}','_self','N','standard_ms','Y');</v>
      </c>
      <c r="T9" t="s">
        <v>893</v>
      </c>
    </row>
    <row r="10" spans="1:16374" x14ac:dyDescent="0.4">
      <c r="A10" s="26"/>
      <c r="B10" s="26" t="s">
        <v>2</v>
      </c>
      <c r="C10" s="27" t="s">
        <v>801</v>
      </c>
      <c r="D10" s="27" t="s">
        <v>799</v>
      </c>
      <c r="E10" s="13" t="s">
        <v>58</v>
      </c>
      <c r="F10" s="13"/>
      <c r="G10" s="13" t="s">
        <v>95</v>
      </c>
      <c r="H10" s="13" t="s">
        <v>255</v>
      </c>
      <c r="I10" s="13">
        <v>3</v>
      </c>
      <c r="J10" s="13">
        <v>20</v>
      </c>
      <c r="K10" s="13" t="s">
        <v>334</v>
      </c>
      <c r="L10" s="13" t="s">
        <v>561</v>
      </c>
      <c r="M10" s="13"/>
      <c r="N10" s="13" t="s">
        <v>359</v>
      </c>
      <c r="O10" s="13" t="s">
        <v>368</v>
      </c>
      <c r="P10" s="13" t="s">
        <v>119</v>
      </c>
      <c r="Q10" s="13" t="s">
        <v>120</v>
      </c>
      <c r="R10" s="13" t="s">
        <v>144</v>
      </c>
      <c r="S10" s="8" t="str">
        <f t="shared" si="0"/>
        <v>INSERT INTO STB_B_MENU_MNG(MENU_DIV_CD, MENU_CD ,UPR_MENU_CD, KOR_NM, URL_ADDR, PAGE_CL, MENU_PARAM,MENU_CSS, LAY_OUT, RTN_URL , SORT_NO , MENU_COMMENT, MENU_TARGET, IS_DEL_ABLE, REG_USER, USE_YN ) VALUES('MA','71020200','71020000','권한 수정','/ma/system/auth/update.do','SUB','{}','','.mLayout:','/ma/system/auth/update','20','{}','_self','N','standard_ms','Y');</v>
      </c>
      <c r="T10" t="s">
        <v>894</v>
      </c>
    </row>
    <row r="11" spans="1:16374" x14ac:dyDescent="0.4">
      <c r="A11" s="26"/>
      <c r="B11" s="26" t="s">
        <v>2</v>
      </c>
      <c r="C11" s="27" t="s">
        <v>802</v>
      </c>
      <c r="D11" s="27" t="s">
        <v>799</v>
      </c>
      <c r="E11" s="13" t="s">
        <v>89</v>
      </c>
      <c r="F11" s="13"/>
      <c r="G11" s="13" t="s">
        <v>88</v>
      </c>
      <c r="H11" s="13" t="s">
        <v>255</v>
      </c>
      <c r="I11" s="13">
        <v>3</v>
      </c>
      <c r="J11" s="13">
        <v>30</v>
      </c>
      <c r="K11" s="13" t="s">
        <v>335</v>
      </c>
      <c r="L11" s="13" t="s">
        <v>561</v>
      </c>
      <c r="M11" s="13"/>
      <c r="N11" s="13" t="s">
        <v>359</v>
      </c>
      <c r="O11" s="13" t="s">
        <v>369</v>
      </c>
      <c r="P11" s="13" t="s">
        <v>119</v>
      </c>
      <c r="Q11" s="13" t="s">
        <v>120</v>
      </c>
      <c r="R11" s="13" t="s">
        <v>144</v>
      </c>
      <c r="S11" s="8" t="str">
        <f t="shared" si="0"/>
        <v>INSERT INTO STB_B_MENU_MNG(MENU_DIV_CD, MENU_CD ,UPR_MENU_CD, KOR_NM, URL_ADDR, PAGE_CL, MENU_PARAM,MENU_CSS, LAY_OUT, RTN_URL , SORT_NO , MENU_COMMENT, MENU_TARGET, IS_DEL_ABLE, REG_USER, USE_YN ) VALUES('MA','71020300','71020000','권한 등록','/ma/system/auth/regist.do','SUB','{}','','.mLayout:','/ma/system/auth/regist','30','{}','_self','N','standard_ms','Y');</v>
      </c>
      <c r="T11" t="s">
        <v>895</v>
      </c>
    </row>
    <row r="12" spans="1:16374" x14ac:dyDescent="0.4">
      <c r="A12" s="26"/>
      <c r="B12" s="26" t="s">
        <v>2</v>
      </c>
      <c r="C12" s="27" t="s">
        <v>803</v>
      </c>
      <c r="D12" s="27" t="s">
        <v>796</v>
      </c>
      <c r="E12" s="26" t="s">
        <v>56</v>
      </c>
      <c r="F12" s="26"/>
      <c r="G12" s="26" t="s">
        <v>70</v>
      </c>
      <c r="H12" s="26" t="s">
        <v>254</v>
      </c>
      <c r="I12" s="26">
        <v>2</v>
      </c>
      <c r="J12" s="26">
        <v>30</v>
      </c>
      <c r="K12" s="26" t="s">
        <v>338</v>
      </c>
      <c r="L12" s="13" t="s">
        <v>561</v>
      </c>
      <c r="M12" s="13"/>
      <c r="N12" s="13" t="s">
        <v>359</v>
      </c>
      <c r="O12" s="26" t="s">
        <v>372</v>
      </c>
      <c r="P12" s="13" t="s">
        <v>119</v>
      </c>
      <c r="Q12" s="13" t="s">
        <v>120</v>
      </c>
      <c r="R12" s="13" t="s">
        <v>144</v>
      </c>
      <c r="S12" s="8" t="str">
        <f t="shared" si="0"/>
        <v>INSERT INTO STB_B_MENU_MNG(MENU_DIV_CD, MENU_CD ,UPR_MENU_CD, KOR_NM, URL_ADDR, PAGE_CL, MENU_PARAM,MENU_CSS, LAY_OUT, RTN_URL , SORT_NO , MENU_COMMENT, MENU_TARGET, IS_DEL_ABLE, REG_USER, USE_YN ) VALUES('MA','71030000','71000000','메뉴관리','/ma/system/menu/list.do','MAIN','{}','','.mLayout:','/ma/system/menu/list','30','{}','_self','N','standard_ms','Y');</v>
      </c>
      <c r="T12" t="s">
        <v>896</v>
      </c>
    </row>
    <row r="13" spans="1:16374" x14ac:dyDescent="0.4">
      <c r="A13" s="26"/>
      <c r="B13" s="26" t="s">
        <v>2</v>
      </c>
      <c r="C13" s="27" t="s">
        <v>804</v>
      </c>
      <c r="D13" s="27" t="s">
        <v>803</v>
      </c>
      <c r="E13" s="13" t="s">
        <v>61</v>
      </c>
      <c r="F13" s="13"/>
      <c r="G13" s="13" t="s">
        <v>425</v>
      </c>
      <c r="H13" s="13" t="s">
        <v>255</v>
      </c>
      <c r="I13" s="13">
        <v>3</v>
      </c>
      <c r="J13" s="13">
        <v>10</v>
      </c>
      <c r="K13" s="13" t="s">
        <v>339</v>
      </c>
      <c r="L13" s="13" t="s">
        <v>561</v>
      </c>
      <c r="M13" s="13"/>
      <c r="N13" s="13" t="s">
        <v>359</v>
      </c>
      <c r="O13" s="13" t="s">
        <v>373</v>
      </c>
      <c r="P13" s="13" t="s">
        <v>119</v>
      </c>
      <c r="Q13" s="13" t="s">
        <v>120</v>
      </c>
      <c r="R13" s="13" t="s">
        <v>144</v>
      </c>
      <c r="S13" s="8" t="str">
        <f t="shared" si="0"/>
        <v>INSERT INTO STB_B_MENU_MNG(MENU_DIV_CD, MENU_CD ,UPR_MENU_CD, KOR_NM, URL_ADDR, PAGE_CL, MENU_PARAM,MENU_CSS, LAY_OUT, RTN_URL , SORT_NO , MENU_COMMENT, MENU_TARGET, IS_DEL_ABLE, REG_USER, USE_YN ) VALUES('MA','71030100','71030000','메뉴조회','/ma/system/menu/view.do','SUB','{}','','.mLayout:','/ma/system/menu/view','10','{}','_self','N','standard_ms','Y');</v>
      </c>
      <c r="T13" t="s">
        <v>897</v>
      </c>
    </row>
    <row r="14" spans="1:16374" x14ac:dyDescent="0.4">
      <c r="A14" s="26"/>
      <c r="B14" s="26" t="s">
        <v>2</v>
      </c>
      <c r="C14" s="27" t="s">
        <v>805</v>
      </c>
      <c r="D14" s="27" t="s">
        <v>803</v>
      </c>
      <c r="E14" s="13" t="s">
        <v>59</v>
      </c>
      <c r="F14" s="13"/>
      <c r="G14" s="13" t="s">
        <v>95</v>
      </c>
      <c r="H14" s="13" t="s">
        <v>255</v>
      </c>
      <c r="I14" s="13">
        <v>3</v>
      </c>
      <c r="J14" s="13">
        <v>20</v>
      </c>
      <c r="K14" s="13" t="s">
        <v>340</v>
      </c>
      <c r="L14" s="13" t="s">
        <v>561</v>
      </c>
      <c r="M14" s="13"/>
      <c r="N14" s="13" t="s">
        <v>359</v>
      </c>
      <c r="O14" s="13" t="s">
        <v>374</v>
      </c>
      <c r="P14" s="13" t="s">
        <v>119</v>
      </c>
      <c r="Q14" s="13" t="s">
        <v>120</v>
      </c>
      <c r="R14" s="13" t="s">
        <v>144</v>
      </c>
      <c r="S14" s="8" t="str">
        <f t="shared" si="0"/>
        <v>INSERT INTO STB_B_MENU_MNG(MENU_DIV_CD, MENU_CD ,UPR_MENU_CD, KOR_NM, URL_ADDR, PAGE_CL, MENU_PARAM,MENU_CSS, LAY_OUT, RTN_URL , SORT_NO , MENU_COMMENT, MENU_TARGET, IS_DEL_ABLE, REG_USER, USE_YN ) VALUES('MA','71030200','71030000','메뉴수정','/ma/system/menu/update.do','SUB','{}','','.mLayout:','/ma/system/menu/update','20','{}','_self','N','standard_ms','Y');</v>
      </c>
      <c r="T14" t="s">
        <v>898</v>
      </c>
    </row>
    <row r="15" spans="1:16374" x14ac:dyDescent="0.4">
      <c r="A15" s="26"/>
      <c r="B15" s="26" t="s">
        <v>2</v>
      </c>
      <c r="C15" s="27" t="s">
        <v>806</v>
      </c>
      <c r="D15" s="27" t="s">
        <v>803</v>
      </c>
      <c r="E15" s="13" t="s">
        <v>90</v>
      </c>
      <c r="F15" s="13"/>
      <c r="G15" s="13" t="s">
        <v>88</v>
      </c>
      <c r="H15" s="13" t="s">
        <v>255</v>
      </c>
      <c r="I15" s="13">
        <v>3</v>
      </c>
      <c r="J15" s="13">
        <v>30</v>
      </c>
      <c r="K15" s="13" t="s">
        <v>341</v>
      </c>
      <c r="L15" s="13" t="s">
        <v>561</v>
      </c>
      <c r="M15" s="13"/>
      <c r="N15" s="13" t="s">
        <v>359</v>
      </c>
      <c r="O15" s="13" t="s">
        <v>375</v>
      </c>
      <c r="P15" s="13" t="s">
        <v>119</v>
      </c>
      <c r="Q15" s="13" t="s">
        <v>120</v>
      </c>
      <c r="R15" s="13" t="s">
        <v>144</v>
      </c>
      <c r="S15" s="8" t="str">
        <f t="shared" si="0"/>
        <v>INSERT INTO STB_B_MENU_MNG(MENU_DIV_CD, MENU_CD ,UPR_MENU_CD, KOR_NM, URL_ADDR, PAGE_CL, MENU_PARAM,MENU_CSS, LAY_OUT, RTN_URL , SORT_NO , MENU_COMMENT, MENU_TARGET, IS_DEL_ABLE, REG_USER, USE_YN ) VALUES('MA','71030300','71030000','메뉴등록','/ma/system/menu/regist.do','SUB','{}','','.mLayout:','/ma/system/menu/regist','30','{}','_self','N','standard_ms','Y');</v>
      </c>
      <c r="T15" t="s">
        <v>899</v>
      </c>
    </row>
    <row r="16" spans="1:16374" x14ac:dyDescent="0.4">
      <c r="A16" s="26"/>
      <c r="B16" s="26" t="s">
        <v>2</v>
      </c>
      <c r="C16" s="27" t="s">
        <v>1120</v>
      </c>
      <c r="D16" s="27" t="s">
        <v>806</v>
      </c>
      <c r="E16" s="13" t="s">
        <v>1121</v>
      </c>
      <c r="F16" s="13"/>
      <c r="G16" s="13" t="s">
        <v>1121</v>
      </c>
      <c r="H16" s="13" t="s">
        <v>1130</v>
      </c>
      <c r="I16" s="13">
        <v>4</v>
      </c>
      <c r="J16" s="13">
        <v>10</v>
      </c>
      <c r="K16" s="13" t="s">
        <v>1122</v>
      </c>
      <c r="L16" s="13" t="s">
        <v>561</v>
      </c>
      <c r="M16" s="13"/>
      <c r="N16" s="13" t="s">
        <v>1123</v>
      </c>
      <c r="O16" s="13" t="s">
        <v>1124</v>
      </c>
      <c r="P16" s="13" t="s">
        <v>119</v>
      </c>
      <c r="Q16" s="13" t="s">
        <v>120</v>
      </c>
      <c r="R16" s="13" t="s">
        <v>144</v>
      </c>
      <c r="S16" s="8" t="str">
        <f t="shared" si="0"/>
        <v>INSERT INTO STB_B_MENU_MNG(MENU_DIV_CD, MENU_CD ,UPR_MENU_CD, KOR_NM, URL_ADDR, PAGE_CL, MENU_PARAM,MENU_CSS, LAY_OUT, RTN_URL , SORT_NO , MENU_COMMENT, MENU_TARGET, IS_DEL_ABLE, REG_USER, USE_YN ) VALUES('MA','71030301','71030300','게시판찾기 팝업','/ma/system/menu/boardFuncPopup.do','POPUP','{}','','.popLayout:','/ma/system/menu/boardFuncPopup','10','{}','_self','N','standard_ms','Y');</v>
      </c>
      <c r="T16" t="s">
        <v>1126</v>
      </c>
    </row>
    <row r="17" spans="1:20" x14ac:dyDescent="0.4">
      <c r="A17" s="26"/>
      <c r="B17" s="26" t="s">
        <v>2</v>
      </c>
      <c r="C17" s="27" t="s">
        <v>807</v>
      </c>
      <c r="D17" s="27" t="s">
        <v>796</v>
      </c>
      <c r="E17" s="26" t="s">
        <v>420</v>
      </c>
      <c r="F17" s="26"/>
      <c r="G17" s="26" t="s">
        <v>70</v>
      </c>
      <c r="H17" s="26" t="s">
        <v>254</v>
      </c>
      <c r="I17" s="26">
        <v>2</v>
      </c>
      <c r="J17" s="26">
        <v>40</v>
      </c>
      <c r="K17" s="26" t="s">
        <v>336</v>
      </c>
      <c r="L17" s="13" t="s">
        <v>561</v>
      </c>
      <c r="M17" s="13"/>
      <c r="N17" s="13" t="s">
        <v>359</v>
      </c>
      <c r="O17" s="26" t="s">
        <v>370</v>
      </c>
      <c r="P17" s="13" t="s">
        <v>119</v>
      </c>
      <c r="Q17" s="13" t="s">
        <v>120</v>
      </c>
      <c r="R17" s="13" t="s">
        <v>144</v>
      </c>
      <c r="S17" s="8" t="str">
        <f t="shared" si="0"/>
        <v>INSERT INTO STB_B_MENU_MNG(MENU_DIV_CD, MENU_CD ,UPR_MENU_CD, KOR_NM, URL_ADDR, PAGE_CL, MENU_PARAM,MENU_CSS, LAY_OUT, RTN_URL , SORT_NO , MENU_COMMENT, MENU_TARGET, IS_DEL_ABLE, REG_USER, USE_YN ) VALUES('MA','71040000','71000000','권한별 접근메뉴 관리','/ma/system/authMenu/list.do','MAIN','{}','','.mLayout:','/ma/system/authMenu/list','40','{}','_self','N','standard_ms','Y');</v>
      </c>
      <c r="T17" t="s">
        <v>900</v>
      </c>
    </row>
    <row r="18" spans="1:20" x14ac:dyDescent="0.4">
      <c r="A18" s="26"/>
      <c r="B18" s="26" t="s">
        <v>2</v>
      </c>
      <c r="C18" s="27" t="s">
        <v>808</v>
      </c>
      <c r="D18" s="27" t="s">
        <v>807</v>
      </c>
      <c r="E18" s="13" t="s">
        <v>57</v>
      </c>
      <c r="F18" s="13"/>
      <c r="G18" s="13" t="s">
        <v>72</v>
      </c>
      <c r="H18" s="13" t="s">
        <v>255</v>
      </c>
      <c r="I18" s="13">
        <v>3</v>
      </c>
      <c r="J18" s="13">
        <v>10</v>
      </c>
      <c r="K18" s="13" t="s">
        <v>337</v>
      </c>
      <c r="L18" s="13" t="s">
        <v>561</v>
      </c>
      <c r="M18" s="13"/>
      <c r="N18" s="13" t="s">
        <v>359</v>
      </c>
      <c r="O18" s="13" t="s">
        <v>371</v>
      </c>
      <c r="P18" s="13" t="s">
        <v>119</v>
      </c>
      <c r="Q18" s="13" t="s">
        <v>120</v>
      </c>
      <c r="R18" s="13" t="s">
        <v>144</v>
      </c>
      <c r="S18" s="8" t="str">
        <f t="shared" si="0"/>
        <v>INSERT INTO STB_B_MENU_MNG(MENU_DIV_CD, MENU_CD ,UPR_MENU_CD, KOR_NM, URL_ADDR, PAGE_CL, MENU_PARAM,MENU_CSS, LAY_OUT, RTN_URL , SORT_NO , MENU_COMMENT, MENU_TARGET, IS_DEL_ABLE, REG_USER, USE_YN ) VALUES('MA','71040100','71040000','권한_메뉴 매핑','/ma/system/authMenu/update.do','SUB','{}','','.mLayout:','/ma/system/authMenu/update','10','{}','_self','N','standard_ms','Y');</v>
      </c>
      <c r="T18" t="s">
        <v>901</v>
      </c>
    </row>
    <row r="19" spans="1:20" x14ac:dyDescent="0.4">
      <c r="A19" s="26"/>
      <c r="B19" s="26" t="s">
        <v>2</v>
      </c>
      <c r="C19" s="27" t="s">
        <v>809</v>
      </c>
      <c r="D19" s="27" t="s">
        <v>796</v>
      </c>
      <c r="E19" s="26" t="s">
        <v>55</v>
      </c>
      <c r="F19" s="26"/>
      <c r="G19" s="26" t="s">
        <v>70</v>
      </c>
      <c r="H19" s="26" t="s">
        <v>254</v>
      </c>
      <c r="I19" s="26">
        <v>2</v>
      </c>
      <c r="J19" s="26">
        <v>50</v>
      </c>
      <c r="K19" s="26" t="s">
        <v>620</v>
      </c>
      <c r="L19" s="13" t="s">
        <v>561</v>
      </c>
      <c r="M19" s="13"/>
      <c r="N19" s="13" t="s">
        <v>359</v>
      </c>
      <c r="O19" s="26" t="s">
        <v>621</v>
      </c>
      <c r="P19" s="13" t="s">
        <v>119</v>
      </c>
      <c r="Q19" s="13" t="s">
        <v>120</v>
      </c>
      <c r="R19" s="13" t="s">
        <v>144</v>
      </c>
      <c r="S19" s="8" t="str">
        <f t="shared" si="0"/>
        <v>INSERT INTO STB_B_MENU_MNG(MENU_DIV_CD, MENU_CD ,UPR_MENU_CD, KOR_NM, URL_ADDR, PAGE_CL, MENU_PARAM,MENU_CSS, LAY_OUT, RTN_URL , SORT_NO , MENU_COMMENT, MENU_TARGET, IS_DEL_ABLE, REG_USER, USE_YN ) VALUES('MA','71050000','71000000','사용자관리','/ma/system/user/list.do','MAIN','{}','','.mLayout:','/ma/system/user/list','50','{}','_self','N','standard_ms','Y');</v>
      </c>
      <c r="T19" t="s">
        <v>902</v>
      </c>
    </row>
    <row r="20" spans="1:20" x14ac:dyDescent="0.4">
      <c r="A20" s="26"/>
      <c r="B20" s="26" t="s">
        <v>2</v>
      </c>
      <c r="C20" s="27" t="s">
        <v>810</v>
      </c>
      <c r="D20" s="27" t="s">
        <v>809</v>
      </c>
      <c r="E20" s="13" t="s">
        <v>62</v>
      </c>
      <c r="F20" s="13"/>
      <c r="G20" s="13" t="s">
        <v>71</v>
      </c>
      <c r="H20" s="13" t="s">
        <v>255</v>
      </c>
      <c r="I20" s="13">
        <v>3</v>
      </c>
      <c r="J20" s="13">
        <v>10</v>
      </c>
      <c r="K20" s="13" t="s">
        <v>343</v>
      </c>
      <c r="L20" s="13" t="s">
        <v>561</v>
      </c>
      <c r="M20" s="13"/>
      <c r="N20" s="13" t="s">
        <v>359</v>
      </c>
      <c r="O20" s="13" t="s">
        <v>377</v>
      </c>
      <c r="P20" s="13" t="s">
        <v>119</v>
      </c>
      <c r="Q20" s="13" t="s">
        <v>120</v>
      </c>
      <c r="R20" s="13" t="s">
        <v>144</v>
      </c>
      <c r="S20" s="8" t="str">
        <f t="shared" si="0"/>
        <v>INSERT INTO STB_B_MENU_MNG(MENU_DIV_CD, MENU_CD ,UPR_MENU_CD, KOR_NM, URL_ADDR, PAGE_CL, MENU_PARAM,MENU_CSS, LAY_OUT, RTN_URL , SORT_NO , MENU_COMMENT, MENU_TARGET, IS_DEL_ABLE, REG_USER, USE_YN ) VALUES('MA','71050100','71050000','사용자조회','/ma/system/user/view.do','SUB','{}','','.mLayout:','/ma/system/user/view','10','{}','_self','N','standard_ms','Y');</v>
      </c>
      <c r="T20" t="s">
        <v>903</v>
      </c>
    </row>
    <row r="21" spans="1:20" x14ac:dyDescent="0.4">
      <c r="A21" s="26"/>
      <c r="B21" s="26" t="s">
        <v>2</v>
      </c>
      <c r="C21" s="27" t="s">
        <v>811</v>
      </c>
      <c r="D21" s="27" t="s">
        <v>809</v>
      </c>
      <c r="E21" s="13" t="s">
        <v>63</v>
      </c>
      <c r="F21" s="13"/>
      <c r="G21" s="13" t="s">
        <v>425</v>
      </c>
      <c r="H21" s="13" t="s">
        <v>255</v>
      </c>
      <c r="I21" s="13">
        <v>3</v>
      </c>
      <c r="J21" s="13">
        <v>20</v>
      </c>
      <c r="K21" s="13" t="s">
        <v>344</v>
      </c>
      <c r="L21" s="13" t="s">
        <v>561</v>
      </c>
      <c r="M21" s="13"/>
      <c r="N21" s="13" t="s">
        <v>359</v>
      </c>
      <c r="O21" s="13" t="s">
        <v>378</v>
      </c>
      <c r="P21" s="13" t="s">
        <v>119</v>
      </c>
      <c r="Q21" s="13" t="s">
        <v>120</v>
      </c>
      <c r="R21" s="13" t="s">
        <v>144</v>
      </c>
      <c r="S21" s="8" t="str">
        <f t="shared" si="0"/>
        <v>INSERT INTO STB_B_MENU_MNG(MENU_DIV_CD, MENU_CD ,UPR_MENU_CD, KOR_NM, URL_ADDR, PAGE_CL, MENU_PARAM,MENU_CSS, LAY_OUT, RTN_URL , SORT_NO , MENU_COMMENT, MENU_TARGET, IS_DEL_ABLE, REG_USER, USE_YN ) VALUES('MA','71050200','71050000','사용자수정','/ma/system/user/update.do','SUB','{}','','.mLayout:','/ma/system/user/update','20','{}','_self','N','standard_ms','Y');</v>
      </c>
      <c r="T21" t="s">
        <v>904</v>
      </c>
    </row>
    <row r="22" spans="1:20" x14ac:dyDescent="0.4">
      <c r="A22" s="26"/>
      <c r="B22" s="26" t="s">
        <v>2</v>
      </c>
      <c r="C22" s="27" t="s">
        <v>812</v>
      </c>
      <c r="D22" s="27" t="s">
        <v>809</v>
      </c>
      <c r="E22" s="13" t="s">
        <v>87</v>
      </c>
      <c r="F22" s="13"/>
      <c r="G22" s="13" t="s">
        <v>88</v>
      </c>
      <c r="H22" s="13" t="s">
        <v>255</v>
      </c>
      <c r="I22" s="13">
        <v>3</v>
      </c>
      <c r="J22" s="13">
        <v>30</v>
      </c>
      <c r="K22" s="13" t="s">
        <v>342</v>
      </c>
      <c r="L22" s="13" t="s">
        <v>561</v>
      </c>
      <c r="M22" s="13"/>
      <c r="N22" s="13" t="s">
        <v>359</v>
      </c>
      <c r="O22" s="13" t="s">
        <v>376</v>
      </c>
      <c r="P22" s="13" t="s">
        <v>119</v>
      </c>
      <c r="Q22" s="13" t="s">
        <v>120</v>
      </c>
      <c r="R22" s="13" t="s">
        <v>144</v>
      </c>
      <c r="S22" s="8" t="str">
        <f t="shared" si="0"/>
        <v>INSERT INTO STB_B_MENU_MNG(MENU_DIV_CD, MENU_CD ,UPR_MENU_CD, KOR_NM, URL_ADDR, PAGE_CL, MENU_PARAM,MENU_CSS, LAY_OUT, RTN_URL , SORT_NO , MENU_COMMENT, MENU_TARGET, IS_DEL_ABLE, REG_USER, USE_YN ) VALUES('MA','71050300','71050000','사용자등록','/ma/system/user/regist.do','SUB','{}','','.mLayout:','/ma/system/user/regist','30','{}','_self','N','standard_ms','Y');</v>
      </c>
      <c r="T22" t="s">
        <v>905</v>
      </c>
    </row>
    <row r="23" spans="1:20" x14ac:dyDescent="0.4">
      <c r="A23" s="26"/>
      <c r="B23" s="26" t="s">
        <v>2</v>
      </c>
      <c r="C23" s="27" t="s">
        <v>813</v>
      </c>
      <c r="D23" s="27" t="s">
        <v>796</v>
      </c>
      <c r="E23" s="26" t="s">
        <v>64</v>
      </c>
      <c r="F23" s="26"/>
      <c r="G23" s="26" t="s">
        <v>69</v>
      </c>
      <c r="H23" s="26" t="s">
        <v>254</v>
      </c>
      <c r="I23" s="26">
        <v>2</v>
      </c>
      <c r="J23" s="26">
        <v>60</v>
      </c>
      <c r="K23" s="26" t="s">
        <v>345</v>
      </c>
      <c r="L23" s="13" t="s">
        <v>561</v>
      </c>
      <c r="M23" s="13"/>
      <c r="N23" s="13" t="s">
        <v>359</v>
      </c>
      <c r="O23" s="26" t="s">
        <v>379</v>
      </c>
      <c r="P23" s="13" t="s">
        <v>119</v>
      </c>
      <c r="Q23" s="13" t="s">
        <v>120</v>
      </c>
      <c r="R23" s="13" t="s">
        <v>144</v>
      </c>
      <c r="S23" s="8" t="str">
        <f t="shared" si="0"/>
        <v>INSERT INTO STB_B_MENU_MNG(MENU_DIV_CD, MENU_CD ,UPR_MENU_CD, KOR_NM, URL_ADDR, PAGE_CL, MENU_PARAM,MENU_CSS, LAY_OUT, RTN_URL , SORT_NO , MENU_COMMENT, MENU_TARGET, IS_DEL_ABLE, REG_USER, USE_YN ) VALUES('MA','71060000','71000000','공통코드관리','/ma/system/comcode/list.do','MAIN','{}','','.mLayout:','/ma/system/comcode/list','60','{}','_self','N','standard_ms','Y');</v>
      </c>
      <c r="T23" t="s">
        <v>906</v>
      </c>
    </row>
    <row r="24" spans="1:20" x14ac:dyDescent="0.4">
      <c r="A24" s="26"/>
      <c r="B24" s="26" t="s">
        <v>2</v>
      </c>
      <c r="C24" s="27" t="s">
        <v>814</v>
      </c>
      <c r="D24" s="27" t="s">
        <v>796</v>
      </c>
      <c r="E24" s="26" t="s">
        <v>418</v>
      </c>
      <c r="F24" s="26"/>
      <c r="G24" s="26" t="s">
        <v>464</v>
      </c>
      <c r="H24" s="26" t="s">
        <v>254</v>
      </c>
      <c r="I24" s="26">
        <v>2</v>
      </c>
      <c r="J24" s="26">
        <v>70</v>
      </c>
      <c r="K24" s="26" t="s">
        <v>346</v>
      </c>
      <c r="L24" s="13" t="s">
        <v>561</v>
      </c>
      <c r="M24" s="13"/>
      <c r="N24" s="13" t="s">
        <v>359</v>
      </c>
      <c r="O24" s="26" t="s">
        <v>380</v>
      </c>
      <c r="P24" s="13" t="s">
        <v>119</v>
      </c>
      <c r="Q24" s="13" t="s">
        <v>120</v>
      </c>
      <c r="R24" s="13" t="s">
        <v>144</v>
      </c>
      <c r="S24" s="8" t="str">
        <f t="shared" si="0"/>
        <v>INSERT INTO STB_B_MENU_MNG(MENU_DIV_CD, MENU_CD ,UPR_MENU_CD, KOR_NM, URL_ADDR, PAGE_CL, MENU_PARAM,MENU_CSS, LAY_OUT, RTN_URL , SORT_NO , MENU_COMMENT, MENU_TARGET, IS_DEL_ABLE, REG_USER, USE_YN ) VALUES('MA','71070000','71000000','게시판정보관리','/ma/system/boardtype/list.do','MAIN','{}','','.mLayout:','/ma/system/boardtype/list','70','{}','_self','N','standard_ms','Y');</v>
      </c>
      <c r="T24" t="s">
        <v>907</v>
      </c>
    </row>
    <row r="25" spans="1:20" x14ac:dyDescent="0.4">
      <c r="A25" s="26"/>
      <c r="B25" s="26" t="s">
        <v>2</v>
      </c>
      <c r="C25" s="27" t="s">
        <v>815</v>
      </c>
      <c r="D25" s="27" t="s">
        <v>814</v>
      </c>
      <c r="E25" s="13" t="s">
        <v>429</v>
      </c>
      <c r="F25" s="13"/>
      <c r="G25" s="13" t="s">
        <v>88</v>
      </c>
      <c r="H25" s="13" t="s">
        <v>255</v>
      </c>
      <c r="I25" s="13">
        <v>3</v>
      </c>
      <c r="J25" s="13">
        <v>10</v>
      </c>
      <c r="K25" s="26" t="s">
        <v>465</v>
      </c>
      <c r="L25" s="13" t="s">
        <v>561</v>
      </c>
      <c r="M25" s="13"/>
      <c r="N25" s="13" t="s">
        <v>359</v>
      </c>
      <c r="O25" s="26" t="s">
        <v>501</v>
      </c>
      <c r="P25" s="13" t="s">
        <v>119</v>
      </c>
      <c r="Q25" s="13" t="s">
        <v>120</v>
      </c>
      <c r="R25" s="13" t="s">
        <v>144</v>
      </c>
      <c r="S25" s="8" t="str">
        <f t="shared" si="0"/>
        <v>INSERT INTO STB_B_MENU_MNG(MENU_DIV_CD, MENU_CD ,UPR_MENU_CD, KOR_NM, URL_ADDR, PAGE_CL, MENU_PARAM,MENU_CSS, LAY_OUT, RTN_URL , SORT_NO , MENU_COMMENT, MENU_TARGET, IS_DEL_ABLE, REG_USER, USE_YN ) VALUES('MA','71070100','71070000','게시판유형등록','/ma/system/boardtype/regist.do','SUB','{}','','.mLayout:','/ma/system/boardtype/regist','10','{}','_self','N','standard_ms','Y');</v>
      </c>
      <c r="T25" t="s">
        <v>908</v>
      </c>
    </row>
    <row r="26" spans="1:20" x14ac:dyDescent="0.4">
      <c r="A26" s="26"/>
      <c r="B26" s="26" t="s">
        <v>2</v>
      </c>
      <c r="C26" s="27" t="s">
        <v>816</v>
      </c>
      <c r="D26" s="27" t="s">
        <v>814</v>
      </c>
      <c r="E26" s="13" t="s">
        <v>73</v>
      </c>
      <c r="F26" s="13"/>
      <c r="G26" s="13" t="s">
        <v>425</v>
      </c>
      <c r="H26" s="13" t="s">
        <v>255</v>
      </c>
      <c r="I26" s="13">
        <v>3</v>
      </c>
      <c r="J26" s="13">
        <v>20</v>
      </c>
      <c r="K26" s="13" t="s">
        <v>347</v>
      </c>
      <c r="L26" s="13" t="s">
        <v>561</v>
      </c>
      <c r="M26" s="13"/>
      <c r="N26" s="13" t="s">
        <v>359</v>
      </c>
      <c r="O26" s="13" t="s">
        <v>381</v>
      </c>
      <c r="P26" s="13" t="s">
        <v>119</v>
      </c>
      <c r="Q26" s="13" t="s">
        <v>120</v>
      </c>
      <c r="R26" s="13" t="s">
        <v>144</v>
      </c>
      <c r="S26" s="8" t="str">
        <f t="shared" si="0"/>
        <v>INSERT INTO STB_B_MENU_MNG(MENU_DIV_CD, MENU_CD ,UPR_MENU_CD, KOR_NM, URL_ADDR, PAGE_CL, MENU_PARAM,MENU_CSS, LAY_OUT, RTN_URL , SORT_NO , MENU_COMMENT, MENU_TARGET, IS_DEL_ABLE, REG_USER, USE_YN ) VALUES('MA','71070200','71070000','게시판유형조회','/ma/system/boardtype/view.do','SUB','{}','','.mLayout:','/ma/system/boardtype/view','20','{}','_self','N','standard_ms','Y');</v>
      </c>
      <c r="T26" t="s">
        <v>909</v>
      </c>
    </row>
    <row r="27" spans="1:20" x14ac:dyDescent="0.4">
      <c r="A27" s="26"/>
      <c r="B27" s="26" t="s">
        <v>2</v>
      </c>
      <c r="C27" s="27" t="s">
        <v>817</v>
      </c>
      <c r="D27" s="27" t="s">
        <v>814</v>
      </c>
      <c r="E27" s="13" t="s">
        <v>430</v>
      </c>
      <c r="F27" s="13"/>
      <c r="G27" s="13" t="s">
        <v>95</v>
      </c>
      <c r="H27" s="13" t="s">
        <v>255</v>
      </c>
      <c r="I27" s="13">
        <v>3</v>
      </c>
      <c r="J27" s="13">
        <v>30</v>
      </c>
      <c r="K27" s="13" t="s">
        <v>348</v>
      </c>
      <c r="L27" s="13" t="s">
        <v>561</v>
      </c>
      <c r="M27" s="13"/>
      <c r="N27" s="13" t="s">
        <v>359</v>
      </c>
      <c r="O27" s="13" t="s">
        <v>382</v>
      </c>
      <c r="P27" s="13" t="s">
        <v>119</v>
      </c>
      <c r="Q27" s="13" t="s">
        <v>120</v>
      </c>
      <c r="R27" s="13" t="s">
        <v>144</v>
      </c>
      <c r="S27" s="8" t="str">
        <f t="shared" si="0"/>
        <v>INSERT INTO STB_B_MENU_MNG(MENU_DIV_CD, MENU_CD ,UPR_MENU_CD, KOR_NM, URL_ADDR, PAGE_CL, MENU_PARAM,MENU_CSS, LAY_OUT, RTN_URL , SORT_NO , MENU_COMMENT, MENU_TARGET, IS_DEL_ABLE, REG_USER, USE_YN ) VALUES('MA','71070300','71070000','게시판유형수정','/ma/system/boardtype/update.do','SUB','{}','','.mLayout:','/ma/system/boardtype/update','30','{}','_self','N','standard_ms','Y');</v>
      </c>
      <c r="T27" t="s">
        <v>910</v>
      </c>
    </row>
    <row r="28" spans="1:20" x14ac:dyDescent="0.4">
      <c r="A28" s="26"/>
      <c r="B28" s="26" t="s">
        <v>2</v>
      </c>
      <c r="C28" s="27" t="s">
        <v>818</v>
      </c>
      <c r="D28" s="27" t="s">
        <v>796</v>
      </c>
      <c r="E28" s="26" t="s">
        <v>421</v>
      </c>
      <c r="F28" s="26"/>
      <c r="G28" s="26" t="s">
        <v>70</v>
      </c>
      <c r="H28" s="26" t="s">
        <v>254</v>
      </c>
      <c r="I28" s="26">
        <v>2</v>
      </c>
      <c r="J28" s="26">
        <v>80</v>
      </c>
      <c r="K28" s="26" t="s">
        <v>463</v>
      </c>
      <c r="L28" s="13" t="s">
        <v>561</v>
      </c>
      <c r="M28" s="13"/>
      <c r="N28" s="13" t="s">
        <v>359</v>
      </c>
      <c r="O28" s="26" t="s">
        <v>502</v>
      </c>
      <c r="P28" s="13" t="s">
        <v>119</v>
      </c>
      <c r="Q28" s="13"/>
      <c r="R28" s="13" t="s">
        <v>144</v>
      </c>
      <c r="S28" s="8" t="str">
        <f t="shared" si="0"/>
        <v>INSERT INTO STB_B_MENU_MNG(MENU_DIV_CD, MENU_CD ,UPR_MENU_CD, KOR_NM, URL_ADDR, PAGE_CL, MENU_PARAM,MENU_CSS, LAY_OUT, RTN_URL , SORT_NO , MENU_COMMENT, MENU_TARGET, IS_DEL_ABLE, REG_USER, USE_YN ) VALUES('MA','71080000','71000000','메뉴얼관리','/ma/system/menual/list.do','MAIN','{}','','.mLayout:','/ma/system/menual/list','80','{}','_self','','standard_ms','Y');</v>
      </c>
      <c r="T28" t="s">
        <v>911</v>
      </c>
    </row>
    <row r="29" spans="1:20" x14ac:dyDescent="0.4">
      <c r="A29" s="26"/>
      <c r="B29" s="26" t="s">
        <v>2</v>
      </c>
      <c r="C29" s="27" t="s">
        <v>819</v>
      </c>
      <c r="D29" s="27" t="s">
        <v>818</v>
      </c>
      <c r="E29" s="13" t="s">
        <v>424</v>
      </c>
      <c r="F29" s="13"/>
      <c r="G29" s="13" t="s">
        <v>88</v>
      </c>
      <c r="H29" s="13" t="s">
        <v>255</v>
      </c>
      <c r="I29" s="13">
        <v>3</v>
      </c>
      <c r="J29" s="13">
        <v>10</v>
      </c>
      <c r="K29" s="26" t="s">
        <v>466</v>
      </c>
      <c r="L29" s="13" t="s">
        <v>561</v>
      </c>
      <c r="M29" s="13"/>
      <c r="N29" s="13" t="s">
        <v>359</v>
      </c>
      <c r="O29" s="26" t="s">
        <v>503</v>
      </c>
      <c r="P29" s="13" t="s">
        <v>119</v>
      </c>
      <c r="Q29" s="13"/>
      <c r="R29" s="13" t="s">
        <v>144</v>
      </c>
      <c r="S29" s="8" t="str">
        <f t="shared" si="0"/>
        <v>INSERT INTO STB_B_MENU_MNG(MENU_DIV_CD, MENU_CD ,UPR_MENU_CD, KOR_NM, URL_ADDR, PAGE_CL, MENU_PARAM,MENU_CSS, LAY_OUT, RTN_URL , SORT_NO , MENU_COMMENT, MENU_TARGET, IS_DEL_ABLE, REG_USER, USE_YN ) VALUES('MA','71080100','71080000','메뉴얼등록','/ma/system/menual/regist.do','SUB','{}','','.mLayout:','/ma/system/menual/regist','10','{}','_self','','standard_ms','Y');</v>
      </c>
      <c r="T29" t="s">
        <v>912</v>
      </c>
    </row>
    <row r="30" spans="1:20" x14ac:dyDescent="0.4">
      <c r="A30" s="26"/>
      <c r="B30" s="26" t="s">
        <v>2</v>
      </c>
      <c r="C30" s="27" t="s">
        <v>820</v>
      </c>
      <c r="D30" s="27" t="s">
        <v>818</v>
      </c>
      <c r="E30" s="13" t="s">
        <v>422</v>
      </c>
      <c r="F30" s="13"/>
      <c r="G30" s="13" t="s">
        <v>71</v>
      </c>
      <c r="H30" s="13" t="s">
        <v>255</v>
      </c>
      <c r="I30" s="13">
        <v>3</v>
      </c>
      <c r="J30" s="13">
        <v>20</v>
      </c>
      <c r="K30" s="26" t="s">
        <v>467</v>
      </c>
      <c r="L30" s="13" t="s">
        <v>561</v>
      </c>
      <c r="M30" s="13"/>
      <c r="N30" s="13" t="s">
        <v>359</v>
      </c>
      <c r="O30" s="26" t="s">
        <v>504</v>
      </c>
      <c r="P30" s="13" t="s">
        <v>119</v>
      </c>
      <c r="Q30" s="13"/>
      <c r="R30" s="13" t="s">
        <v>144</v>
      </c>
      <c r="S30" s="8" t="str">
        <f t="shared" si="0"/>
        <v>INSERT INTO STB_B_MENU_MNG(MENU_DIV_CD, MENU_CD ,UPR_MENU_CD, KOR_NM, URL_ADDR, PAGE_CL, MENU_PARAM,MENU_CSS, LAY_OUT, RTN_URL , SORT_NO , MENU_COMMENT, MENU_TARGET, IS_DEL_ABLE, REG_USER, USE_YN ) VALUES('MA','71080200','71080000','메뉴얼조회','/ma/system/menual/view.do','SUB','{}','','.mLayout:','/ma/system/menual/view','20','{}','_self','','standard_ms','Y');</v>
      </c>
      <c r="T30" t="s">
        <v>913</v>
      </c>
    </row>
    <row r="31" spans="1:20" x14ac:dyDescent="0.4">
      <c r="A31" s="26"/>
      <c r="B31" s="26" t="s">
        <v>2</v>
      </c>
      <c r="C31" s="27" t="s">
        <v>821</v>
      </c>
      <c r="D31" s="27" t="s">
        <v>818</v>
      </c>
      <c r="E31" s="13" t="s">
        <v>423</v>
      </c>
      <c r="F31" s="13"/>
      <c r="G31" s="13" t="s">
        <v>72</v>
      </c>
      <c r="H31" s="13" t="s">
        <v>255</v>
      </c>
      <c r="I31" s="13">
        <v>3</v>
      </c>
      <c r="J31" s="13">
        <v>30</v>
      </c>
      <c r="K31" s="26" t="s">
        <v>468</v>
      </c>
      <c r="L31" s="13" t="s">
        <v>561</v>
      </c>
      <c r="M31" s="13"/>
      <c r="N31" s="13" t="s">
        <v>359</v>
      </c>
      <c r="O31" s="26" t="s">
        <v>505</v>
      </c>
      <c r="P31" s="13" t="s">
        <v>119</v>
      </c>
      <c r="Q31" s="13"/>
      <c r="R31" s="13" t="s">
        <v>144</v>
      </c>
      <c r="S31" s="8" t="str">
        <f t="shared" si="0"/>
        <v>INSERT INTO STB_B_MENU_MNG(MENU_DIV_CD, MENU_CD ,UPR_MENU_CD, KOR_NM, URL_ADDR, PAGE_CL, MENU_PARAM,MENU_CSS, LAY_OUT, RTN_URL , SORT_NO , MENU_COMMENT, MENU_TARGET, IS_DEL_ABLE, REG_USER, USE_YN ) VALUES('MA','71080300','71080000','메뉴얼수정','/ma/system/menual/update.do','SUB','{}','','.mLayout:','/ma/system/menual/update','30','{}','_self','','standard_ms','Y');</v>
      </c>
      <c r="T31" t="s">
        <v>914</v>
      </c>
    </row>
    <row r="32" spans="1:20" x14ac:dyDescent="0.4">
      <c r="A32" s="26"/>
      <c r="B32" s="26" t="s">
        <v>2</v>
      </c>
      <c r="C32" s="27" t="s">
        <v>822</v>
      </c>
      <c r="D32" s="27" t="s">
        <v>796</v>
      </c>
      <c r="E32" s="26" t="s">
        <v>98</v>
      </c>
      <c r="F32" s="26"/>
      <c r="G32" s="26" t="s">
        <v>106</v>
      </c>
      <c r="H32" s="26" t="s">
        <v>254</v>
      </c>
      <c r="I32" s="26">
        <v>2</v>
      </c>
      <c r="J32" s="26">
        <v>90</v>
      </c>
      <c r="K32" s="26"/>
      <c r="L32" s="13" t="s">
        <v>561</v>
      </c>
      <c r="M32" s="13"/>
      <c r="N32" s="13"/>
      <c r="O32" s="26"/>
      <c r="P32" s="13"/>
      <c r="Q32" s="13"/>
      <c r="R32" s="13" t="s">
        <v>144</v>
      </c>
      <c r="S32" s="8" t="str">
        <f t="shared" si="0"/>
        <v>INSERT INTO STB_B_MENU_MNG(MENU_DIV_CD, MENU_CD ,UPR_MENU_CD, KOR_NM, URL_ADDR, PAGE_CL, MENU_PARAM,MENU_CSS, LAY_OUT, RTN_URL , SORT_NO , MENU_COMMENT, MENU_TARGET, IS_DEL_ABLE, REG_USER, USE_YN ) VALUES('MA','71090000','71000000','약관관리','','MAIN','{}','','','','90','{}','','','standard_ms','Y');</v>
      </c>
      <c r="T32" t="s">
        <v>915</v>
      </c>
    </row>
    <row r="33" spans="1:20" x14ac:dyDescent="0.4">
      <c r="A33" s="26"/>
      <c r="B33" s="26" t="s">
        <v>2</v>
      </c>
      <c r="C33" s="27" t="s">
        <v>823</v>
      </c>
      <c r="D33" s="27" t="s">
        <v>822</v>
      </c>
      <c r="E33" s="26" t="s">
        <v>99</v>
      </c>
      <c r="F33" s="26"/>
      <c r="G33" s="26" t="s">
        <v>69</v>
      </c>
      <c r="H33" s="26" t="s">
        <v>254</v>
      </c>
      <c r="I33" s="26">
        <v>3</v>
      </c>
      <c r="J33" s="26">
        <v>10</v>
      </c>
      <c r="K33" s="26" t="s">
        <v>353</v>
      </c>
      <c r="L33" s="13" t="s">
        <v>561</v>
      </c>
      <c r="M33" s="13"/>
      <c r="N33" s="13" t="s">
        <v>359</v>
      </c>
      <c r="O33" s="26" t="s">
        <v>387</v>
      </c>
      <c r="P33" s="13" t="s">
        <v>119</v>
      </c>
      <c r="Q33" s="13" t="s">
        <v>120</v>
      </c>
      <c r="R33" s="13" t="s">
        <v>144</v>
      </c>
      <c r="S33" s="8" t="str">
        <f t="shared" si="0"/>
        <v>INSERT INTO STB_B_MENU_MNG(MENU_DIV_CD, MENU_CD ,UPR_MENU_CD, KOR_NM, URL_ADDR, PAGE_CL, MENU_PARAM,MENU_CSS, LAY_OUT, RTN_URL , SORT_NO , MENU_COMMENT, MENU_TARGET, IS_DEL_ABLE, REG_USER, USE_YN ) VALUES('MA','71090100','71090000','회원가입 약관','/ma/system/join/agreement/view.do','MAIN','{}','','.mLayout:','/ma/system/join/agreement/view','10','{}','_self','N','standard_ms','Y');</v>
      </c>
      <c r="T33" t="s">
        <v>916</v>
      </c>
    </row>
    <row r="34" spans="1:20" x14ac:dyDescent="0.4">
      <c r="A34" s="26"/>
      <c r="B34" s="26" t="s">
        <v>2</v>
      </c>
      <c r="C34" s="27" t="s">
        <v>824</v>
      </c>
      <c r="D34" s="27" t="s">
        <v>822</v>
      </c>
      <c r="E34" s="13" t="s">
        <v>101</v>
      </c>
      <c r="F34" s="13"/>
      <c r="G34" s="13" t="s">
        <v>69</v>
      </c>
      <c r="H34" s="13" t="s">
        <v>255</v>
      </c>
      <c r="I34" s="13">
        <v>3</v>
      </c>
      <c r="J34" s="13">
        <v>10</v>
      </c>
      <c r="K34" s="13" t="s">
        <v>354</v>
      </c>
      <c r="L34" s="13" t="s">
        <v>561</v>
      </c>
      <c r="M34" s="13"/>
      <c r="N34" s="13" t="s">
        <v>359</v>
      </c>
      <c r="O34" s="13" t="s">
        <v>388</v>
      </c>
      <c r="P34" s="13" t="s">
        <v>119</v>
      </c>
      <c r="Q34" s="13" t="s">
        <v>120</v>
      </c>
      <c r="R34" s="13" t="s">
        <v>144</v>
      </c>
      <c r="S34" s="8" t="str">
        <f t="shared" si="0"/>
        <v>INSERT INTO STB_B_MENU_MNG(MENU_DIV_CD, MENU_CD ,UPR_MENU_CD, KOR_NM, URL_ADDR, PAGE_CL, MENU_PARAM,MENU_CSS, LAY_OUT, RTN_URL , SORT_NO , MENU_COMMENT, MENU_TARGET, IS_DEL_ABLE, REG_USER, USE_YN ) VALUES('MA','71090200','71090000','회원가입 약관 (수정)','/ma/system/join/agreement/update.do','SUB','{}','','.mLayout:','/ma/system/join/agreement/update','10','{}','_self','N','standard_ms','Y');</v>
      </c>
      <c r="T34" t="s">
        <v>917</v>
      </c>
    </row>
    <row r="35" spans="1:20" x14ac:dyDescent="0.4">
      <c r="A35" s="26"/>
      <c r="B35" s="26" t="s">
        <v>2</v>
      </c>
      <c r="C35" s="27" t="s">
        <v>825</v>
      </c>
      <c r="D35" s="27" t="s">
        <v>822</v>
      </c>
      <c r="E35" s="26" t="s">
        <v>100</v>
      </c>
      <c r="F35" s="26"/>
      <c r="G35" s="26" t="s">
        <v>69</v>
      </c>
      <c r="H35" s="26" t="s">
        <v>254</v>
      </c>
      <c r="I35" s="26">
        <v>3</v>
      </c>
      <c r="J35" s="26">
        <v>20</v>
      </c>
      <c r="K35" s="26" t="s">
        <v>355</v>
      </c>
      <c r="L35" s="13" t="s">
        <v>561</v>
      </c>
      <c r="M35" s="13"/>
      <c r="N35" s="13" t="s">
        <v>359</v>
      </c>
      <c r="O35" s="26" t="s">
        <v>389</v>
      </c>
      <c r="P35" s="13" t="s">
        <v>119</v>
      </c>
      <c r="Q35" s="13" t="s">
        <v>120</v>
      </c>
      <c r="R35" s="13" t="s">
        <v>144</v>
      </c>
      <c r="S35" s="8" t="str">
        <f t="shared" si="0"/>
        <v>INSERT INTO STB_B_MENU_MNG(MENU_DIV_CD, MENU_CD ,UPR_MENU_CD, KOR_NM, URL_ADDR, PAGE_CL, MENU_PARAM,MENU_CSS, LAY_OUT, RTN_URL , SORT_NO , MENU_COMMENT, MENU_TARGET, IS_DEL_ABLE, REG_USER, USE_YN ) VALUES('MA','71090300','71090000','회원탈퇴 약관','/ma/system/escape/agreement/view.do','MAIN','{}','','.mLayout:','/ma/system/escape/agreement/view','20','{}','_self','N','standard_ms','Y');</v>
      </c>
      <c r="T35" t="s">
        <v>918</v>
      </c>
    </row>
    <row r="36" spans="1:20" x14ac:dyDescent="0.4">
      <c r="A36" s="26"/>
      <c r="B36" s="26" t="s">
        <v>2</v>
      </c>
      <c r="C36" s="27" t="s">
        <v>826</v>
      </c>
      <c r="D36" s="27" t="s">
        <v>822</v>
      </c>
      <c r="E36" s="13" t="s">
        <v>102</v>
      </c>
      <c r="F36" s="13"/>
      <c r="G36" s="13" t="s">
        <v>69</v>
      </c>
      <c r="H36" s="13" t="s">
        <v>255</v>
      </c>
      <c r="I36" s="13">
        <v>3</v>
      </c>
      <c r="J36" s="13">
        <v>10</v>
      </c>
      <c r="K36" s="13" t="s">
        <v>356</v>
      </c>
      <c r="L36" s="13" t="s">
        <v>561</v>
      </c>
      <c r="M36" s="13"/>
      <c r="N36" s="13" t="s">
        <v>359</v>
      </c>
      <c r="O36" s="13" t="s">
        <v>390</v>
      </c>
      <c r="P36" s="13" t="s">
        <v>119</v>
      </c>
      <c r="Q36" s="13" t="s">
        <v>120</v>
      </c>
      <c r="R36" s="13" t="s">
        <v>144</v>
      </c>
      <c r="S36" s="8" t="str">
        <f t="shared" si="0"/>
        <v>INSERT INTO STB_B_MENU_MNG(MENU_DIV_CD, MENU_CD ,UPR_MENU_CD, KOR_NM, URL_ADDR, PAGE_CL, MENU_PARAM,MENU_CSS, LAY_OUT, RTN_URL , SORT_NO , MENU_COMMENT, MENU_TARGET, IS_DEL_ABLE, REG_USER, USE_YN ) VALUES('MA','71090400','71090000','회원탈퇴 약관 (수정)','/ma/system/escape/agreement/update.do','SUB','{}','','.mLayout:','/ma/system/escape/agreement/update','10','{}','_self','N','standard_ms','Y');</v>
      </c>
      <c r="T36" t="s">
        <v>919</v>
      </c>
    </row>
    <row r="37" spans="1:20" x14ac:dyDescent="0.4">
      <c r="A37" s="26"/>
      <c r="B37" s="26" t="s">
        <v>2</v>
      </c>
      <c r="C37" s="27" t="s">
        <v>827</v>
      </c>
      <c r="D37" s="27" t="s">
        <v>796</v>
      </c>
      <c r="E37" s="26" t="s">
        <v>91</v>
      </c>
      <c r="F37" s="26"/>
      <c r="G37" s="26" t="s">
        <v>70</v>
      </c>
      <c r="H37" s="26" t="s">
        <v>254</v>
      </c>
      <c r="I37" s="26">
        <v>2</v>
      </c>
      <c r="J37" s="26">
        <v>100</v>
      </c>
      <c r="K37" s="26" t="s">
        <v>349</v>
      </c>
      <c r="L37" s="13" t="s">
        <v>561</v>
      </c>
      <c r="M37" s="13"/>
      <c r="N37" s="13" t="s">
        <v>359</v>
      </c>
      <c r="O37" s="26" t="s">
        <v>383</v>
      </c>
      <c r="P37" s="13" t="s">
        <v>119</v>
      </c>
      <c r="Q37" s="13" t="s">
        <v>120</v>
      </c>
      <c r="R37" s="13" t="s">
        <v>144</v>
      </c>
      <c r="S37" s="8" t="str">
        <f t="shared" si="0"/>
        <v>INSERT INTO STB_B_MENU_MNG(MENU_DIV_CD, MENU_CD ,UPR_MENU_CD, KOR_NM, URL_ADDR, PAGE_CL, MENU_PARAM,MENU_CSS, LAY_OUT, RTN_URL , SORT_NO , MENU_COMMENT, MENU_TARGET, IS_DEL_ABLE, REG_USER, USE_YN ) VALUES('MA','71100000','71000000','메인공지팝업관리','/ma/system/popup/list.do','MAIN','{}','','.mLayout:','/ma/system/popup/list','100','{}','_self','N','standard_ms','Y');</v>
      </c>
      <c r="T37" t="s">
        <v>920</v>
      </c>
    </row>
    <row r="38" spans="1:20" x14ac:dyDescent="0.4">
      <c r="A38" s="26"/>
      <c r="B38" s="26" t="s">
        <v>2</v>
      </c>
      <c r="C38" s="27" t="s">
        <v>828</v>
      </c>
      <c r="D38" s="27" t="s">
        <v>827</v>
      </c>
      <c r="E38" s="13" t="s">
        <v>92</v>
      </c>
      <c r="F38" s="13"/>
      <c r="G38" s="13" t="s">
        <v>425</v>
      </c>
      <c r="H38" s="13" t="s">
        <v>255</v>
      </c>
      <c r="I38" s="13">
        <v>3</v>
      </c>
      <c r="J38" s="13">
        <v>10</v>
      </c>
      <c r="K38" s="13" t="s">
        <v>350</v>
      </c>
      <c r="L38" s="13" t="s">
        <v>561</v>
      </c>
      <c r="M38" s="13"/>
      <c r="N38" s="13" t="s">
        <v>359</v>
      </c>
      <c r="O38" s="13" t="s">
        <v>384</v>
      </c>
      <c r="P38" s="13" t="s">
        <v>119</v>
      </c>
      <c r="Q38" s="13" t="s">
        <v>120</v>
      </c>
      <c r="R38" s="13" t="s">
        <v>144</v>
      </c>
      <c r="S38" s="8" t="str">
        <f t="shared" si="0"/>
        <v>INSERT INTO STB_B_MENU_MNG(MENU_DIV_CD, MENU_CD ,UPR_MENU_CD, KOR_NM, URL_ADDR, PAGE_CL, MENU_PARAM,MENU_CSS, LAY_OUT, RTN_URL , SORT_NO , MENU_COMMENT, MENU_TARGET, IS_DEL_ABLE, REG_USER, USE_YN ) VALUES('MA','71100100','71100000','메인공지팝업상세','/ma/system/popup/view.do','SUB','{}','','.mLayout:','/ma/system/popup/view','10','{}','_self','N','standard_ms','Y');</v>
      </c>
      <c r="T38" t="s">
        <v>921</v>
      </c>
    </row>
    <row r="39" spans="1:20" x14ac:dyDescent="0.4">
      <c r="A39" s="26"/>
      <c r="B39" s="26" t="s">
        <v>2</v>
      </c>
      <c r="C39" s="27" t="s">
        <v>829</v>
      </c>
      <c r="D39" s="27" t="s">
        <v>827</v>
      </c>
      <c r="E39" s="13" t="s">
        <v>94</v>
      </c>
      <c r="F39" s="13"/>
      <c r="G39" s="13" t="s">
        <v>95</v>
      </c>
      <c r="H39" s="13" t="s">
        <v>255</v>
      </c>
      <c r="I39" s="13">
        <v>3</v>
      </c>
      <c r="J39" s="13">
        <v>20</v>
      </c>
      <c r="K39" s="13" t="s">
        <v>351</v>
      </c>
      <c r="L39" s="13" t="s">
        <v>561</v>
      </c>
      <c r="M39" s="13"/>
      <c r="N39" s="13" t="s">
        <v>359</v>
      </c>
      <c r="O39" s="13" t="s">
        <v>385</v>
      </c>
      <c r="P39" s="13" t="s">
        <v>119</v>
      </c>
      <c r="Q39" s="13" t="s">
        <v>120</v>
      </c>
      <c r="R39" s="13" t="s">
        <v>144</v>
      </c>
      <c r="S39" s="8" t="str">
        <f t="shared" si="0"/>
        <v>INSERT INTO STB_B_MENU_MNG(MENU_DIV_CD, MENU_CD ,UPR_MENU_CD, KOR_NM, URL_ADDR, PAGE_CL, MENU_PARAM,MENU_CSS, LAY_OUT, RTN_URL , SORT_NO , MENU_COMMENT, MENU_TARGET, IS_DEL_ABLE, REG_USER, USE_YN ) VALUES('MA','71100200','71100000','메인공지팝업수정','/ma/system/popup/update.do','SUB','{}','','.mLayout:','/ma/system/popup/update','20','{}','_self','N','standard_ms','Y');</v>
      </c>
      <c r="T39" t="s">
        <v>922</v>
      </c>
    </row>
    <row r="40" spans="1:20" x14ac:dyDescent="0.4">
      <c r="A40" s="26"/>
      <c r="B40" s="26" t="s">
        <v>2</v>
      </c>
      <c r="C40" s="27" t="s">
        <v>830</v>
      </c>
      <c r="D40" s="27" t="s">
        <v>827</v>
      </c>
      <c r="E40" s="13" t="s">
        <v>93</v>
      </c>
      <c r="F40" s="13"/>
      <c r="G40" s="13" t="s">
        <v>88</v>
      </c>
      <c r="H40" s="13" t="s">
        <v>255</v>
      </c>
      <c r="I40" s="13">
        <v>3</v>
      </c>
      <c r="J40" s="13">
        <v>30</v>
      </c>
      <c r="K40" s="13" t="s">
        <v>352</v>
      </c>
      <c r="L40" s="13" t="s">
        <v>561</v>
      </c>
      <c r="M40" s="13"/>
      <c r="N40" s="13" t="s">
        <v>359</v>
      </c>
      <c r="O40" s="13" t="s">
        <v>386</v>
      </c>
      <c r="P40" s="13" t="s">
        <v>119</v>
      </c>
      <c r="Q40" s="13" t="s">
        <v>120</v>
      </c>
      <c r="R40" s="13" t="s">
        <v>144</v>
      </c>
      <c r="S40" s="8" t="str">
        <f t="shared" si="0"/>
        <v>INSERT INTO STB_B_MENU_MNG(MENU_DIV_CD, MENU_CD ,UPR_MENU_CD, KOR_NM, URL_ADDR, PAGE_CL, MENU_PARAM,MENU_CSS, LAY_OUT, RTN_URL , SORT_NO , MENU_COMMENT, MENU_TARGET, IS_DEL_ABLE, REG_USER, USE_YN ) VALUES('MA','71100300','71100000','메인공지팝업등록','/ma/system/popup/regist.do','SUB','{}','','.mLayout:','/ma/system/popup/regist','30','{}','_self','N','standard_ms','Y');</v>
      </c>
      <c r="T40" t="s">
        <v>923</v>
      </c>
    </row>
    <row r="41" spans="1:20" x14ac:dyDescent="0.4">
      <c r="A41" s="26"/>
      <c r="B41" s="26" t="s">
        <v>2</v>
      </c>
      <c r="C41" s="27" t="s">
        <v>831</v>
      </c>
      <c r="D41" s="27" t="s">
        <v>796</v>
      </c>
      <c r="E41" s="26" t="s">
        <v>433</v>
      </c>
      <c r="F41" s="26"/>
      <c r="G41" s="26" t="s">
        <v>106</v>
      </c>
      <c r="H41" s="26" t="s">
        <v>254</v>
      </c>
      <c r="I41" s="26">
        <v>2</v>
      </c>
      <c r="J41" s="26">
        <v>110</v>
      </c>
      <c r="K41" s="13"/>
      <c r="L41" s="13" t="s">
        <v>561</v>
      </c>
      <c r="M41" s="13"/>
      <c r="N41" s="13"/>
      <c r="O41" s="13"/>
      <c r="P41" s="13"/>
      <c r="Q41" s="13"/>
      <c r="R41" s="13" t="s">
        <v>144</v>
      </c>
      <c r="S41" s="8" t="str">
        <f t="shared" si="0"/>
        <v>INSERT INTO STB_B_MENU_MNG(MENU_DIV_CD, MENU_CD ,UPR_MENU_CD, KOR_NM, URL_ADDR, PAGE_CL, MENU_PARAM,MENU_CSS, LAY_OUT, RTN_URL , SORT_NO , MENU_COMMENT, MENU_TARGET, IS_DEL_ABLE, REG_USER, USE_YN ) VALUES('MA','71110000','71000000','로그관리','','MAIN','{}','','','','110','{}','','','standard_ms','Y');</v>
      </c>
      <c r="T41" t="s">
        <v>924</v>
      </c>
    </row>
    <row r="42" spans="1:20" x14ac:dyDescent="0.4">
      <c r="A42" s="26"/>
      <c r="B42" s="26" t="s">
        <v>2</v>
      </c>
      <c r="C42" s="27" t="s">
        <v>832</v>
      </c>
      <c r="D42" s="27" t="s">
        <v>831</v>
      </c>
      <c r="E42" s="26" t="s">
        <v>434</v>
      </c>
      <c r="F42" s="26"/>
      <c r="G42" s="26"/>
      <c r="H42" s="26" t="s">
        <v>254</v>
      </c>
      <c r="I42" s="26">
        <v>3</v>
      </c>
      <c r="J42" s="26">
        <v>10</v>
      </c>
      <c r="K42" s="13" t="s">
        <v>469</v>
      </c>
      <c r="L42" s="13" t="s">
        <v>561</v>
      </c>
      <c r="M42" s="13"/>
      <c r="N42" s="13" t="s">
        <v>359</v>
      </c>
      <c r="O42" s="13" t="s">
        <v>506</v>
      </c>
      <c r="P42" s="13" t="s">
        <v>119</v>
      </c>
      <c r="Q42" s="13"/>
      <c r="R42" s="13" t="s">
        <v>144</v>
      </c>
      <c r="S42" s="8" t="str">
        <f t="shared" si="0"/>
        <v>INSERT INTO STB_B_MENU_MNG(MENU_DIV_CD, MENU_CD ,UPR_MENU_CD, KOR_NM, URL_ADDR, PAGE_CL, MENU_PARAM,MENU_CSS, LAY_OUT, RTN_URL , SORT_NO , MENU_COMMENT, MENU_TARGET, IS_DEL_ABLE, REG_USER, USE_YN ) VALUES('MA','71110100','71110000','로그인로그','/ma/system/log/login.do','MAIN','{}','','.mLayout:','/ma/system/log/login','10','{}','_self','','standard_ms','Y');</v>
      </c>
      <c r="T42" t="s">
        <v>925</v>
      </c>
    </row>
    <row r="43" spans="1:20" x14ac:dyDescent="0.4">
      <c r="A43" s="26"/>
      <c r="B43" s="26" t="s">
        <v>2</v>
      </c>
      <c r="C43" s="27" t="s">
        <v>833</v>
      </c>
      <c r="D43" s="27" t="s">
        <v>831</v>
      </c>
      <c r="E43" s="26" t="s">
        <v>435</v>
      </c>
      <c r="F43" s="26"/>
      <c r="G43" s="26"/>
      <c r="H43" s="26" t="s">
        <v>254</v>
      </c>
      <c r="I43" s="26">
        <v>3</v>
      </c>
      <c r="J43" s="26">
        <v>20</v>
      </c>
      <c r="K43" s="13" t="s">
        <v>470</v>
      </c>
      <c r="L43" s="13" t="s">
        <v>561</v>
      </c>
      <c r="M43" s="13"/>
      <c r="N43" s="13" t="s">
        <v>359</v>
      </c>
      <c r="O43" s="13" t="s">
        <v>507</v>
      </c>
      <c r="P43" s="13" t="s">
        <v>119</v>
      </c>
      <c r="Q43" s="13"/>
      <c r="R43" s="13" t="s">
        <v>144</v>
      </c>
      <c r="S43" s="8" t="str">
        <f t="shared" si="0"/>
        <v>INSERT INTO STB_B_MENU_MNG(MENU_DIV_CD, MENU_CD ,UPR_MENU_CD, KOR_NM, URL_ADDR, PAGE_CL, MENU_PARAM,MENU_CSS, LAY_OUT, RTN_URL , SORT_NO , MENU_COMMENT, MENU_TARGET, IS_DEL_ABLE, REG_USER, USE_YN ) VALUES('MA','71110200','71110000','에러로그','/ma/system/log/lerror/list.do','MAIN','{}','','.mLayout:','/ma/system/log/lerror/list','20','{}','_self','','standard_ms','Y');</v>
      </c>
      <c r="T43" t="s">
        <v>926</v>
      </c>
    </row>
    <row r="44" spans="1:20" x14ac:dyDescent="0.4">
      <c r="A44" s="26"/>
      <c r="B44" s="26" t="s">
        <v>2</v>
      </c>
      <c r="C44" s="27" t="s">
        <v>834</v>
      </c>
      <c r="D44" s="27" t="s">
        <v>833</v>
      </c>
      <c r="E44" s="13" t="s">
        <v>437</v>
      </c>
      <c r="F44" s="13"/>
      <c r="G44" s="13"/>
      <c r="H44" s="13" t="s">
        <v>255</v>
      </c>
      <c r="I44" s="13">
        <v>4</v>
      </c>
      <c r="J44" s="13">
        <v>10</v>
      </c>
      <c r="K44" s="13" t="s">
        <v>471</v>
      </c>
      <c r="L44" s="13" t="s">
        <v>561</v>
      </c>
      <c r="M44" s="13"/>
      <c r="N44" s="13" t="s">
        <v>359</v>
      </c>
      <c r="O44" s="13" t="s">
        <v>508</v>
      </c>
      <c r="P44" s="13" t="s">
        <v>119</v>
      </c>
      <c r="Q44" s="13"/>
      <c r="R44" s="13" t="s">
        <v>144</v>
      </c>
      <c r="S44" s="8" t="str">
        <f t="shared" si="0"/>
        <v>INSERT INTO STB_B_MENU_MNG(MENU_DIV_CD, MENU_CD ,UPR_MENU_CD, KOR_NM, URL_ADDR, PAGE_CL, MENU_PARAM,MENU_CSS, LAY_OUT, RTN_URL , SORT_NO , MENU_COMMENT, MENU_TARGET, IS_DEL_ABLE, REG_USER, USE_YN ) VALUES('MA','71110201','71110200','에러 상세','/ma/system/log/lerror/view.do','SUB','{}','','.mLayout:','/ma/system/log/lerror/view','10','{}','_self','','standard_ms','Y');</v>
      </c>
      <c r="T44" t="s">
        <v>927</v>
      </c>
    </row>
    <row r="45" spans="1:20" x14ac:dyDescent="0.4">
      <c r="A45" s="26"/>
      <c r="B45" s="26" t="s">
        <v>2</v>
      </c>
      <c r="C45" s="27" t="s">
        <v>835</v>
      </c>
      <c r="D45" s="27" t="s">
        <v>831</v>
      </c>
      <c r="E45" s="26" t="s">
        <v>436</v>
      </c>
      <c r="F45" s="26"/>
      <c r="G45" s="26"/>
      <c r="H45" s="26" t="s">
        <v>254</v>
      </c>
      <c r="I45" s="26">
        <v>3</v>
      </c>
      <c r="J45" s="26">
        <v>120</v>
      </c>
      <c r="K45" s="13" t="s">
        <v>473</v>
      </c>
      <c r="L45" s="13" t="s">
        <v>561</v>
      </c>
      <c r="M45" s="13"/>
      <c r="N45" s="13" t="s">
        <v>359</v>
      </c>
      <c r="O45" s="13" t="s">
        <v>509</v>
      </c>
      <c r="P45" s="13" t="s">
        <v>119</v>
      </c>
      <c r="Q45" s="13"/>
      <c r="R45" s="13" t="s">
        <v>144</v>
      </c>
      <c r="S45" s="8" t="str">
        <f t="shared" si="0"/>
        <v>INSERT INTO STB_B_MENU_MNG(MENU_DIV_CD, MENU_CD ,UPR_MENU_CD, KOR_NM, URL_ADDR, PAGE_CL, MENU_PARAM,MENU_CSS, LAY_OUT, RTN_URL , SORT_NO , MENU_COMMENT, MENU_TARGET, IS_DEL_ABLE, REG_USER, USE_YN ) VALUES('MA','71110300','71110000','Action로그','/ma/system/log/action/list.do','MAIN','{}','','.mLayout:','/ma/system/log/action/list','120','{}','_self','','standard_ms','Y');</v>
      </c>
      <c r="T45" t="s">
        <v>928</v>
      </c>
    </row>
    <row r="46" spans="1:20" x14ac:dyDescent="0.4">
      <c r="A46" s="26"/>
      <c r="B46" s="26" t="s">
        <v>2</v>
      </c>
      <c r="C46" s="27" t="s">
        <v>836</v>
      </c>
      <c r="D46" s="27" t="s">
        <v>835</v>
      </c>
      <c r="E46" s="13" t="s">
        <v>438</v>
      </c>
      <c r="F46" s="13"/>
      <c r="G46" s="13"/>
      <c r="H46" s="13" t="s">
        <v>255</v>
      </c>
      <c r="I46" s="13">
        <v>4</v>
      </c>
      <c r="J46" s="13">
        <v>10</v>
      </c>
      <c r="K46" s="13" t="s">
        <v>472</v>
      </c>
      <c r="L46" s="13" t="s">
        <v>561</v>
      </c>
      <c r="M46" s="13"/>
      <c r="N46" s="13" t="s">
        <v>359</v>
      </c>
      <c r="O46" s="13" t="s">
        <v>510</v>
      </c>
      <c r="P46" s="13" t="s">
        <v>119</v>
      </c>
      <c r="Q46" s="13"/>
      <c r="R46" s="13" t="s">
        <v>144</v>
      </c>
      <c r="S46" s="8" t="str">
        <f t="shared" si="0"/>
        <v>INSERT INTO STB_B_MENU_MNG(MENU_DIV_CD, MENU_CD ,UPR_MENU_CD, KOR_NM, URL_ADDR, PAGE_CL, MENU_PARAM,MENU_CSS, LAY_OUT, RTN_URL , SORT_NO , MENU_COMMENT, MENU_TARGET, IS_DEL_ABLE, REG_USER, USE_YN ) VALUES('MA','71110301','71110300','Action상세','/ma/system/log/action/view.do','SUB','{}','','.mLayout:','/ma/system/log/action/view','10','{}','_self','','standard_ms','Y');</v>
      </c>
      <c r="T46" t="s">
        <v>929</v>
      </c>
    </row>
    <row r="47" spans="1:20" x14ac:dyDescent="0.4">
      <c r="A47" s="13"/>
      <c r="B47" s="13" t="s">
        <v>2</v>
      </c>
      <c r="C47" s="14" t="s">
        <v>837</v>
      </c>
      <c r="D47" s="27" t="s">
        <v>772</v>
      </c>
      <c r="E47" s="13" t="s">
        <v>462</v>
      </c>
      <c r="F47" s="13"/>
      <c r="G47" s="13" t="s">
        <v>68</v>
      </c>
      <c r="H47" s="13" t="s">
        <v>254</v>
      </c>
      <c r="I47" s="13">
        <v>1</v>
      </c>
      <c r="J47" s="13">
        <v>20</v>
      </c>
      <c r="K47" s="13"/>
      <c r="L47" s="13" t="s">
        <v>561</v>
      </c>
      <c r="M47" s="13" t="s">
        <v>566</v>
      </c>
      <c r="N47" s="13"/>
      <c r="O47" s="13"/>
      <c r="P47" s="13"/>
      <c r="Q47" s="13"/>
      <c r="R47" s="13" t="s">
        <v>144</v>
      </c>
      <c r="S47" s="8" t="str">
        <f t="shared" si="0"/>
        <v>INSERT INTO STB_B_MENU_MNG(MENU_DIV_CD, MENU_CD ,UPR_MENU_CD, KOR_NM, URL_ADDR, PAGE_CL, MENU_PARAM,MENU_CSS, LAY_OUT, RTN_URL , SORT_NO , MENU_COMMENT, MENU_TARGET, IS_DEL_ABLE, REG_USER, USE_YN ) VALUES('MA','72000000','00000000','운영자 지원','','MAIN','{}','i02','','','20','{}','','','standard_ms','Y');</v>
      </c>
      <c r="T47" t="s">
        <v>930</v>
      </c>
    </row>
    <row r="48" spans="1:20" x14ac:dyDescent="0.4">
      <c r="A48" s="13"/>
      <c r="B48" s="13" t="s">
        <v>2</v>
      </c>
      <c r="C48" s="14" t="s">
        <v>838</v>
      </c>
      <c r="D48" s="14" t="s">
        <v>837</v>
      </c>
      <c r="E48" s="13" t="s">
        <v>0</v>
      </c>
      <c r="F48" s="13"/>
      <c r="G48" s="13" t="s">
        <v>70</v>
      </c>
      <c r="H48" s="13" t="s">
        <v>254</v>
      </c>
      <c r="I48" s="13">
        <v>2</v>
      </c>
      <c r="J48" s="13">
        <v>20</v>
      </c>
      <c r="K48" s="13" t="s">
        <v>474</v>
      </c>
      <c r="L48" s="13" t="s">
        <v>561</v>
      </c>
      <c r="M48" s="13"/>
      <c r="N48" s="13" t="s">
        <v>359</v>
      </c>
      <c r="O48" s="13" t="s">
        <v>511</v>
      </c>
      <c r="P48" s="13" t="s">
        <v>119</v>
      </c>
      <c r="Q48" s="13"/>
      <c r="R48" s="13" t="s">
        <v>144</v>
      </c>
      <c r="S48" s="8" t="str">
        <f t="shared" si="0"/>
        <v>INSERT INTO STB_B_MENU_MNG(MENU_DIV_CD, MENU_CD ,UPR_MENU_CD, KOR_NM, URL_ADDR, PAGE_CL, MENU_PARAM,MENU_CSS, LAY_OUT, RTN_URL , SORT_NO , MENU_COMMENT, MENU_TARGET, IS_DEL_ABLE, REG_USER, USE_YN ) VALUES('MA','72010000','72000000','컨텐츠관리','/ma/usersupport/contTemplete/list.do','MAIN','{}','','.mLayout:','/ma/usersupport/contTemplete/list','20','{}','_self','','standard_ms','Y');</v>
      </c>
      <c r="T48" t="s">
        <v>931</v>
      </c>
    </row>
    <row r="49" spans="1:20" x14ac:dyDescent="0.4">
      <c r="A49" s="13"/>
      <c r="B49" s="13" t="s">
        <v>2</v>
      </c>
      <c r="C49" s="14" t="s">
        <v>839</v>
      </c>
      <c r="D49" s="14" t="s">
        <v>838</v>
      </c>
      <c r="E49" s="13" t="s">
        <v>426</v>
      </c>
      <c r="F49" s="13"/>
      <c r="G49" s="13" t="s">
        <v>88</v>
      </c>
      <c r="H49" s="13" t="s">
        <v>255</v>
      </c>
      <c r="I49" s="13">
        <v>3</v>
      </c>
      <c r="J49" s="13">
        <v>10</v>
      </c>
      <c r="K49" s="13" t="s">
        <v>475</v>
      </c>
      <c r="L49" s="13" t="s">
        <v>561</v>
      </c>
      <c r="M49" s="13"/>
      <c r="N49" s="13" t="s">
        <v>359</v>
      </c>
      <c r="O49" s="13" t="s">
        <v>512</v>
      </c>
      <c r="P49" s="13" t="s">
        <v>119</v>
      </c>
      <c r="Q49" s="13"/>
      <c r="R49" s="13" t="s">
        <v>144</v>
      </c>
      <c r="S49" s="8" t="str">
        <f t="shared" si="0"/>
        <v>INSERT INTO STB_B_MENU_MNG(MENU_DIV_CD, MENU_CD ,UPR_MENU_CD, KOR_NM, URL_ADDR, PAGE_CL, MENU_PARAM,MENU_CSS, LAY_OUT, RTN_URL , SORT_NO , MENU_COMMENT, MENU_TARGET, IS_DEL_ABLE, REG_USER, USE_YN ) VALUES('MA','72010100','72010000','컨텐츠등록','/ma/usersupport/contTemplete/regist.do','SUB','{}','','.mLayout:','/ma/usersupport/contTemplete/regist','10','{}','_self','','standard_ms','Y');</v>
      </c>
      <c r="T49" t="s">
        <v>932</v>
      </c>
    </row>
    <row r="50" spans="1:20" x14ac:dyDescent="0.4">
      <c r="A50" s="13"/>
      <c r="B50" s="13" t="s">
        <v>2</v>
      </c>
      <c r="C50" s="14" t="s">
        <v>840</v>
      </c>
      <c r="D50" s="14" t="s">
        <v>838</v>
      </c>
      <c r="E50" s="13" t="s">
        <v>427</v>
      </c>
      <c r="F50" s="13"/>
      <c r="G50" s="13" t="s">
        <v>425</v>
      </c>
      <c r="H50" s="13" t="s">
        <v>255</v>
      </c>
      <c r="I50" s="13">
        <v>3</v>
      </c>
      <c r="J50" s="13">
        <v>20</v>
      </c>
      <c r="K50" s="13" t="s">
        <v>476</v>
      </c>
      <c r="L50" s="13" t="s">
        <v>561</v>
      </c>
      <c r="M50" s="13"/>
      <c r="N50" s="13" t="s">
        <v>359</v>
      </c>
      <c r="O50" s="13" t="s">
        <v>513</v>
      </c>
      <c r="P50" s="13" t="s">
        <v>119</v>
      </c>
      <c r="Q50" s="13"/>
      <c r="R50" s="13" t="s">
        <v>144</v>
      </c>
      <c r="S50" s="8" t="str">
        <f t="shared" si="0"/>
        <v>INSERT INTO STB_B_MENU_MNG(MENU_DIV_CD, MENU_CD ,UPR_MENU_CD, KOR_NM, URL_ADDR, PAGE_CL, MENU_PARAM,MENU_CSS, LAY_OUT, RTN_URL , SORT_NO , MENU_COMMENT, MENU_TARGET, IS_DEL_ABLE, REG_USER, USE_YN ) VALUES('MA','72010200','72010000','컨텐츠상세','/ma/usersupport/contTemplete/view.do','SUB','{}','','.mLayout:','/ma/usersupport/contTemplete/view','20','{}','_self','','standard_ms','Y');</v>
      </c>
      <c r="T50" t="s">
        <v>933</v>
      </c>
    </row>
    <row r="51" spans="1:20" x14ac:dyDescent="0.4">
      <c r="A51" s="13"/>
      <c r="B51" s="13" t="s">
        <v>2</v>
      </c>
      <c r="C51" s="14" t="s">
        <v>841</v>
      </c>
      <c r="D51" s="14" t="s">
        <v>838</v>
      </c>
      <c r="E51" s="13" t="s">
        <v>428</v>
      </c>
      <c r="F51" s="13"/>
      <c r="G51" s="13" t="s">
        <v>95</v>
      </c>
      <c r="H51" s="13" t="s">
        <v>255</v>
      </c>
      <c r="I51" s="13">
        <v>3</v>
      </c>
      <c r="J51" s="13">
        <v>30</v>
      </c>
      <c r="K51" s="13" t="s">
        <v>477</v>
      </c>
      <c r="L51" s="13" t="s">
        <v>561</v>
      </c>
      <c r="M51" s="13"/>
      <c r="N51" s="13" t="s">
        <v>359</v>
      </c>
      <c r="O51" s="13" t="s">
        <v>514</v>
      </c>
      <c r="P51" s="13" t="s">
        <v>119</v>
      </c>
      <c r="Q51" s="13"/>
      <c r="R51" s="13" t="s">
        <v>144</v>
      </c>
      <c r="S51" s="8" t="str">
        <f t="shared" si="0"/>
        <v>INSERT INTO STB_B_MENU_MNG(MENU_DIV_CD, MENU_CD ,UPR_MENU_CD, KOR_NM, URL_ADDR, PAGE_CL, MENU_PARAM,MENU_CSS, LAY_OUT, RTN_URL , SORT_NO , MENU_COMMENT, MENU_TARGET, IS_DEL_ABLE, REG_USER, USE_YN ) VALUES('MA','72010300','72010000','컨텐츠수정','/ma/usersupport/contTemplete/update.do','SUB','{}','','.mLayout:','/ma/usersupport/contTemplete/update','30','{}','_self','','standard_ms','Y');</v>
      </c>
      <c r="T51" t="s">
        <v>934</v>
      </c>
    </row>
    <row r="52" spans="1:20" x14ac:dyDescent="0.4">
      <c r="A52" s="26"/>
      <c r="B52" s="26" t="s">
        <v>2</v>
      </c>
      <c r="C52" s="27" t="s">
        <v>842</v>
      </c>
      <c r="D52" s="27" t="s">
        <v>772</v>
      </c>
      <c r="E52" s="26" t="s">
        <v>53</v>
      </c>
      <c r="F52" s="26"/>
      <c r="G52" s="26" t="s">
        <v>68</v>
      </c>
      <c r="H52" s="26" t="s">
        <v>254</v>
      </c>
      <c r="I52" s="26">
        <v>1</v>
      </c>
      <c r="J52" s="26">
        <v>30</v>
      </c>
      <c r="K52" s="26"/>
      <c r="L52" s="13" t="s">
        <v>561</v>
      </c>
      <c r="M52" s="13" t="s">
        <v>567</v>
      </c>
      <c r="N52" s="13"/>
      <c r="O52" s="26"/>
      <c r="P52" s="13"/>
      <c r="Q52" s="13"/>
      <c r="R52" s="13" t="s">
        <v>144</v>
      </c>
      <c r="S52" s="8" t="str">
        <f t="shared" si="0"/>
        <v>INSERT INTO STB_B_MENU_MNG(MENU_DIV_CD, MENU_CD ,UPR_MENU_CD, KOR_NM, URL_ADDR, PAGE_CL, MENU_PARAM,MENU_CSS, LAY_OUT, RTN_URL , SORT_NO , MENU_COMMENT, MENU_TARGET, IS_DEL_ABLE, REG_USER, USE_YN ) VALUES('MA','73000000','00000000','메타데이터관리','','MAIN','{}','i03','','','30','{}','','','standard_ms','Y');</v>
      </c>
      <c r="T52" t="s">
        <v>935</v>
      </c>
    </row>
    <row r="53" spans="1:20" x14ac:dyDescent="0.4">
      <c r="A53" s="26"/>
      <c r="B53" s="26" t="s">
        <v>2</v>
      </c>
      <c r="C53" s="27" t="s">
        <v>843</v>
      </c>
      <c r="D53" s="27" t="s">
        <v>842</v>
      </c>
      <c r="E53" s="26" t="s">
        <v>82</v>
      </c>
      <c r="F53" s="26"/>
      <c r="G53" s="26"/>
      <c r="H53" s="26" t="s">
        <v>254</v>
      </c>
      <c r="I53" s="26">
        <v>2</v>
      </c>
      <c r="J53" s="26">
        <v>10</v>
      </c>
      <c r="K53" s="26"/>
      <c r="L53" s="13" t="s">
        <v>561</v>
      </c>
      <c r="M53" s="13"/>
      <c r="N53" s="13"/>
      <c r="O53" s="26"/>
      <c r="P53" s="13"/>
      <c r="Q53" s="13"/>
      <c r="R53" s="13" t="s">
        <v>144</v>
      </c>
      <c r="S53" s="8" t="str">
        <f t="shared" si="0"/>
        <v>INSERT INTO STB_B_MENU_MNG(MENU_DIV_CD, MENU_CD ,UPR_MENU_CD, KOR_NM, URL_ADDR, PAGE_CL, MENU_PARAM,MENU_CSS, LAY_OUT, RTN_URL , SORT_NO , MENU_COMMENT, MENU_TARGET, IS_DEL_ABLE, REG_USER, USE_YN ) VALUES('MA','73010000','73000000','용어사전','','MAIN','{}','','','','10','{}','','','standard_ms','Y');</v>
      </c>
      <c r="T53" t="s">
        <v>936</v>
      </c>
    </row>
    <row r="54" spans="1:20" x14ac:dyDescent="0.4">
      <c r="A54" s="26"/>
      <c r="B54" s="26" t="s">
        <v>2</v>
      </c>
      <c r="C54" s="27" t="s">
        <v>844</v>
      </c>
      <c r="D54" s="27" t="s">
        <v>843</v>
      </c>
      <c r="E54" s="26" t="s">
        <v>80</v>
      </c>
      <c r="F54" s="26"/>
      <c r="G54" s="26"/>
      <c r="H54" s="13" t="s">
        <v>255</v>
      </c>
      <c r="I54" s="26">
        <v>3</v>
      </c>
      <c r="J54" s="13">
        <v>10</v>
      </c>
      <c r="K54" s="26" t="s">
        <v>432</v>
      </c>
      <c r="L54" s="13" t="s">
        <v>561</v>
      </c>
      <c r="M54" s="13"/>
      <c r="N54" s="13" t="s">
        <v>359</v>
      </c>
      <c r="O54" s="26" t="s">
        <v>515</v>
      </c>
      <c r="P54" s="13" t="s">
        <v>119</v>
      </c>
      <c r="Q54" s="13"/>
      <c r="R54" s="13" t="s">
        <v>144</v>
      </c>
      <c r="S54" s="8" t="str">
        <f t="shared" si="0"/>
        <v>INSERT INTO STB_B_MENU_MNG(MENU_DIV_CD, MENU_CD ,UPR_MENU_CD, KOR_NM, URL_ADDR, PAGE_CL, MENU_PARAM,MENU_CSS, LAY_OUT, RTN_URL , SORT_NO , MENU_COMMENT, MENU_TARGET, IS_DEL_ABLE, REG_USER, USE_YN ) VALUES('MA','73010100','73010000','용어관리','/ma/meta/term/list.do','SUB','{}','','.mLayout:','/ma/meta/term/list','10','{}','_self','','standard_ms','Y');</v>
      </c>
      <c r="T54" t="s">
        <v>937</v>
      </c>
    </row>
    <row r="55" spans="1:20" x14ac:dyDescent="0.4">
      <c r="A55" s="26"/>
      <c r="B55" s="26" t="s">
        <v>2</v>
      </c>
      <c r="C55" s="27" t="s">
        <v>845</v>
      </c>
      <c r="D55" s="27" t="s">
        <v>843</v>
      </c>
      <c r="E55" s="26" t="s">
        <v>103</v>
      </c>
      <c r="F55" s="26"/>
      <c r="G55" s="26"/>
      <c r="H55" s="13" t="s">
        <v>255</v>
      </c>
      <c r="I55" s="26">
        <v>3</v>
      </c>
      <c r="J55" s="13">
        <v>20</v>
      </c>
      <c r="K55" s="26" t="s">
        <v>114</v>
      </c>
      <c r="L55" s="13" t="s">
        <v>561</v>
      </c>
      <c r="M55" s="13"/>
      <c r="N55" s="13" t="s">
        <v>359</v>
      </c>
      <c r="O55" s="26" t="s">
        <v>393</v>
      </c>
      <c r="P55" s="13" t="s">
        <v>119</v>
      </c>
      <c r="Q55" s="13"/>
      <c r="R55" s="13" t="s">
        <v>144</v>
      </c>
      <c r="S55" s="8" t="str">
        <f t="shared" si="0"/>
        <v>INSERT INTO STB_B_MENU_MNG(MENU_DIV_CD, MENU_CD ,UPR_MENU_CD, KOR_NM, URL_ADDR, PAGE_CL, MENU_PARAM,MENU_CSS, LAY_OUT, RTN_URL , SORT_NO , MENU_COMMENT, MENU_TARGET, IS_DEL_ABLE, REG_USER, USE_YN ) VALUES('MA','73010200','73010000','도메인관리','/ma/meta/dmn/list.do','SUB','{}','','.mLayout:','/ma/meta/dmn/list','20','{}','_self','','standard_ms','Y');</v>
      </c>
      <c r="T55" t="s">
        <v>938</v>
      </c>
    </row>
    <row r="56" spans="1:20" x14ac:dyDescent="0.4">
      <c r="A56" s="26"/>
      <c r="B56" s="26" t="s">
        <v>2</v>
      </c>
      <c r="C56" s="27" t="s">
        <v>846</v>
      </c>
      <c r="D56" s="27" t="s">
        <v>843</v>
      </c>
      <c r="E56" s="26" t="s">
        <v>83</v>
      </c>
      <c r="F56" s="26"/>
      <c r="G56" s="26"/>
      <c r="H56" s="13" t="s">
        <v>255</v>
      </c>
      <c r="I56" s="26">
        <v>3</v>
      </c>
      <c r="J56" s="13">
        <v>30</v>
      </c>
      <c r="K56" s="26" t="s">
        <v>115</v>
      </c>
      <c r="L56" s="13" t="s">
        <v>561</v>
      </c>
      <c r="M56" s="13"/>
      <c r="N56" s="13" t="s">
        <v>359</v>
      </c>
      <c r="O56" s="26" t="s">
        <v>394</v>
      </c>
      <c r="P56" s="13" t="s">
        <v>119</v>
      </c>
      <c r="Q56" s="13"/>
      <c r="R56" s="13" t="s">
        <v>144</v>
      </c>
      <c r="S56" s="8" t="str">
        <f t="shared" si="0"/>
        <v>INSERT INTO STB_B_MENU_MNG(MENU_DIV_CD, MENU_CD ,UPR_MENU_CD, KOR_NM, URL_ADDR, PAGE_CL, MENU_PARAM,MENU_CSS, LAY_OUT, RTN_URL , SORT_NO , MENU_COMMENT, MENU_TARGET, IS_DEL_ABLE, REG_USER, USE_YN ) VALUES('MA','73010300','73010000','단어관리','/ma/meta/word/list.do','SUB','{}','','.mLayout:','/ma/meta/word/list','30','{}','_self','','standard_ms','Y');</v>
      </c>
      <c r="T56" t="s">
        <v>939</v>
      </c>
    </row>
    <row r="57" spans="1:20" x14ac:dyDescent="0.4">
      <c r="A57" s="26"/>
      <c r="B57" s="26" t="s">
        <v>2</v>
      </c>
      <c r="C57" s="27" t="s">
        <v>847</v>
      </c>
      <c r="D57" s="27" t="s">
        <v>842</v>
      </c>
      <c r="E57" s="26" t="s">
        <v>79</v>
      </c>
      <c r="F57" s="26"/>
      <c r="G57" s="26"/>
      <c r="H57" s="26" t="s">
        <v>254</v>
      </c>
      <c r="I57" s="26">
        <v>2</v>
      </c>
      <c r="J57" s="26">
        <v>20</v>
      </c>
      <c r="K57" s="26"/>
      <c r="L57" s="13" t="s">
        <v>561</v>
      </c>
      <c r="M57" s="13"/>
      <c r="N57" s="13"/>
      <c r="O57" s="26"/>
      <c r="P57" s="13"/>
      <c r="Q57" s="13"/>
      <c r="R57" s="13" t="s">
        <v>144</v>
      </c>
      <c r="S57" s="8" t="str">
        <f t="shared" si="0"/>
        <v>INSERT INTO STB_B_MENU_MNG(MENU_DIV_CD, MENU_CD ,UPR_MENU_CD, KOR_NM, URL_ADDR, PAGE_CL, MENU_PARAM,MENU_CSS, LAY_OUT, RTN_URL , SORT_NO , MENU_COMMENT, MENU_TARGET, IS_DEL_ABLE, REG_USER, USE_YN ) VALUES('MA','73020000','73000000','DB품질','','MAIN','{}','','','','20','{}','','','standard_ms','Y');</v>
      </c>
      <c r="T57" t="s">
        <v>940</v>
      </c>
    </row>
    <row r="58" spans="1:20" x14ac:dyDescent="0.4">
      <c r="A58" s="26"/>
      <c r="B58" s="26" t="s">
        <v>2</v>
      </c>
      <c r="C58" s="27" t="s">
        <v>848</v>
      </c>
      <c r="D58" s="27" t="s">
        <v>847</v>
      </c>
      <c r="E58" s="26" t="s">
        <v>431</v>
      </c>
      <c r="F58" s="26"/>
      <c r="G58" s="26"/>
      <c r="H58" s="13" t="s">
        <v>255</v>
      </c>
      <c r="I58" s="26">
        <v>3</v>
      </c>
      <c r="J58" s="13">
        <v>10</v>
      </c>
      <c r="K58" s="26" t="s">
        <v>112</v>
      </c>
      <c r="L58" s="13" t="s">
        <v>561</v>
      </c>
      <c r="M58" s="13"/>
      <c r="N58" s="13" t="s">
        <v>359</v>
      </c>
      <c r="O58" s="26" t="s">
        <v>391</v>
      </c>
      <c r="P58" s="13" t="s">
        <v>119</v>
      </c>
      <c r="Q58" s="13"/>
      <c r="R58" s="13" t="s">
        <v>144</v>
      </c>
      <c r="S58" s="8" t="str">
        <f t="shared" si="0"/>
        <v>INSERT INTO STB_B_MENU_MNG(MENU_DIV_CD, MENU_CD ,UPR_MENU_CD, KOR_NM, URL_ADDR, PAGE_CL, MENU_PARAM,MENU_CSS, LAY_OUT, RTN_URL , SORT_NO , MENU_COMMENT, MENU_TARGET, IS_DEL_ABLE, REG_USER, USE_YN ) VALUES('MA','73020100','73020000','DB데이터','/ma/meta/dbData/list.do','SUB','{}','','.mLayout:','/ma/meta/dbData/list','10','{}','_self','','standard_ms','Y');</v>
      </c>
      <c r="T58" t="s">
        <v>941</v>
      </c>
    </row>
    <row r="59" spans="1:20" x14ac:dyDescent="0.4">
      <c r="A59" s="26"/>
      <c r="B59" s="26" t="s">
        <v>2</v>
      </c>
      <c r="C59" s="27" t="s">
        <v>849</v>
      </c>
      <c r="D59" s="27" t="s">
        <v>847</v>
      </c>
      <c r="E59" s="26" t="s">
        <v>84</v>
      </c>
      <c r="F59" s="26"/>
      <c r="G59" s="26"/>
      <c r="H59" s="13" t="s">
        <v>255</v>
      </c>
      <c r="I59" s="26">
        <v>3</v>
      </c>
      <c r="J59" s="13">
        <v>20</v>
      </c>
      <c r="K59" s="26" t="s">
        <v>113</v>
      </c>
      <c r="L59" s="13" t="s">
        <v>561</v>
      </c>
      <c r="M59" s="13"/>
      <c r="N59" s="13" t="s">
        <v>359</v>
      </c>
      <c r="O59" s="26" t="s">
        <v>392</v>
      </c>
      <c r="P59" s="13" t="s">
        <v>119</v>
      </c>
      <c r="Q59" s="13"/>
      <c r="R59" s="13" t="s">
        <v>144</v>
      </c>
      <c r="S59" s="8" t="str">
        <f t="shared" si="0"/>
        <v>INSERT INTO STB_B_MENU_MNG(MENU_DIV_CD, MENU_CD ,UPR_MENU_CD, KOR_NM, URL_ADDR, PAGE_CL, MENU_PARAM,MENU_CSS, LAY_OUT, RTN_URL , SORT_NO , MENU_COMMENT, MENU_TARGET, IS_DEL_ABLE, REG_USER, USE_YN ) VALUES('MA','73020200','73020000','테이블진단','/ma/meta/tblDgns/list.do','SUB','{}','','.mLayout:','/ma/meta/tblDgns/list','20','{}','_self','','standard_ms','Y');</v>
      </c>
      <c r="T59" t="s">
        <v>942</v>
      </c>
    </row>
    <row r="60" spans="1:20" x14ac:dyDescent="0.4">
      <c r="A60" s="26"/>
      <c r="B60" s="26" t="s">
        <v>2</v>
      </c>
      <c r="C60" s="27" t="s">
        <v>850</v>
      </c>
      <c r="D60" s="27" t="s">
        <v>847</v>
      </c>
      <c r="E60" s="26" t="s">
        <v>81</v>
      </c>
      <c r="F60" s="26"/>
      <c r="G60" s="26"/>
      <c r="H60" s="13" t="s">
        <v>255</v>
      </c>
      <c r="I60" s="26">
        <v>3</v>
      </c>
      <c r="J60" s="13">
        <v>30</v>
      </c>
      <c r="K60" s="26" t="s">
        <v>116</v>
      </c>
      <c r="L60" s="13" t="s">
        <v>561</v>
      </c>
      <c r="M60" s="13"/>
      <c r="N60" s="13" t="s">
        <v>359</v>
      </c>
      <c r="O60" s="26" t="s">
        <v>395</v>
      </c>
      <c r="P60" s="13" t="s">
        <v>119</v>
      </c>
      <c r="Q60" s="13"/>
      <c r="R60" s="13" t="s">
        <v>144</v>
      </c>
      <c r="S60" s="8" t="str">
        <f t="shared" si="0"/>
        <v>INSERT INTO STB_B_MENU_MNG(MENU_DIV_CD, MENU_CD ,UPR_MENU_CD, KOR_NM, URL_ADDR, PAGE_CL, MENU_PARAM,MENU_CSS, LAY_OUT, RTN_URL , SORT_NO , MENU_COMMENT, MENU_TARGET, IS_DEL_ABLE, REG_USER, USE_YN ) VALUES('MA','73020300','73020000','용어진단','/ma/meta/termDiag/list.do','SUB','{}','','.mLayout:','/ma/meta/termDiag/list','30','{}','_self','','standard_ms','Y');</v>
      </c>
      <c r="T60" t="s">
        <v>943</v>
      </c>
    </row>
    <row r="61" spans="1:20" x14ac:dyDescent="0.4">
      <c r="A61" s="34"/>
      <c r="B61" s="34" t="s">
        <v>2</v>
      </c>
      <c r="C61" s="35" t="s">
        <v>851</v>
      </c>
      <c r="D61" s="35" t="s">
        <v>772</v>
      </c>
      <c r="E61" s="13" t="s">
        <v>52</v>
      </c>
      <c r="F61" s="13"/>
      <c r="G61" s="13" t="s">
        <v>106</v>
      </c>
      <c r="H61" s="13" t="s">
        <v>254</v>
      </c>
      <c r="I61" s="13">
        <v>1</v>
      </c>
      <c r="J61" s="13">
        <v>40</v>
      </c>
      <c r="K61" s="13"/>
      <c r="L61" s="13" t="s">
        <v>561</v>
      </c>
      <c r="M61" s="13" t="s">
        <v>568</v>
      </c>
      <c r="N61" s="13"/>
      <c r="O61" s="13"/>
      <c r="P61" s="13"/>
      <c r="Q61" s="13"/>
      <c r="R61" s="13" t="s">
        <v>144</v>
      </c>
      <c r="S61" s="8" t="str">
        <f t="shared" si="0"/>
        <v>INSERT INTO STB_B_MENU_MNG(MENU_DIV_CD, MENU_CD ,UPR_MENU_CD, KOR_NM, URL_ADDR, PAGE_CL, MENU_PARAM,MENU_CSS, LAY_OUT, RTN_URL , SORT_NO , MENU_COMMENT, MENU_TARGET, IS_DEL_ABLE, REG_USER, USE_YN ) VALUES('MA','74000000','00000000','게시판관리','','MAIN','{}','i04','','','40','{}','','','standard_ms','Y');</v>
      </c>
      <c r="T61" t="s">
        <v>944</v>
      </c>
    </row>
    <row r="62" spans="1:20" x14ac:dyDescent="0.4">
      <c r="A62" s="34"/>
      <c r="B62" s="34" t="s">
        <v>2</v>
      </c>
      <c r="C62" s="35" t="s">
        <v>852</v>
      </c>
      <c r="D62" s="35" t="s">
        <v>851</v>
      </c>
      <c r="E62" s="13" t="s">
        <v>441</v>
      </c>
      <c r="F62" s="13"/>
      <c r="G62" s="13" t="s">
        <v>106</v>
      </c>
      <c r="H62" s="13" t="s">
        <v>254</v>
      </c>
      <c r="I62" s="13">
        <v>2</v>
      </c>
      <c r="J62" s="13">
        <v>10</v>
      </c>
      <c r="K62" s="13"/>
      <c r="L62" s="13" t="s">
        <v>561</v>
      </c>
      <c r="M62" s="13"/>
      <c r="N62" s="13"/>
      <c r="O62" s="13"/>
      <c r="P62" s="13"/>
      <c r="Q62" s="13"/>
      <c r="R62" s="13" t="s">
        <v>144</v>
      </c>
      <c r="S62" s="8" t="str">
        <f t="shared" si="0"/>
        <v>INSERT INTO STB_B_MENU_MNG(MENU_DIV_CD, MENU_CD ,UPR_MENU_CD, KOR_NM, URL_ADDR, PAGE_CL, MENU_PARAM,MENU_CSS, LAY_OUT, RTN_URL , SORT_NO , MENU_COMMENT, MENU_TARGET, IS_DEL_ABLE, REG_USER, USE_YN ) VALUES('MA','74010000','74000000','게시판샘플','','MAIN','{}','','','','10','{}','','','standard_ms','Y');</v>
      </c>
      <c r="T62" t="s">
        <v>945</v>
      </c>
    </row>
    <row r="63" spans="1:20" x14ac:dyDescent="0.4">
      <c r="A63" s="34"/>
      <c r="B63" s="34" t="s">
        <v>2</v>
      </c>
      <c r="C63" s="35" t="s">
        <v>853</v>
      </c>
      <c r="D63" s="35" t="s">
        <v>852</v>
      </c>
      <c r="E63" s="13" t="s">
        <v>76</v>
      </c>
      <c r="F63" s="13"/>
      <c r="G63" s="13"/>
      <c r="H63" s="13" t="s">
        <v>255</v>
      </c>
      <c r="I63" s="13">
        <v>3</v>
      </c>
      <c r="J63" s="13">
        <v>10</v>
      </c>
      <c r="K63" s="26" t="s">
        <v>542</v>
      </c>
      <c r="L63" s="13" t="s">
        <v>561</v>
      </c>
      <c r="M63" s="13"/>
      <c r="N63" s="13" t="s">
        <v>359</v>
      </c>
      <c r="O63" s="26" t="s">
        <v>553</v>
      </c>
      <c r="P63" s="13" t="s">
        <v>119</v>
      </c>
      <c r="Q63" s="13"/>
      <c r="R63" s="13" t="s">
        <v>144</v>
      </c>
      <c r="S63" s="8" t="str">
        <f t="shared" si="0"/>
        <v>INSERT INTO STB_B_MENU_MNG(MENU_DIV_CD, MENU_CD ,UPR_MENU_CD, KOR_NM, URL_ADDR, PAGE_CL, MENU_PARAM,MENU_CSS, LAY_OUT, RTN_URL , SORT_NO , MENU_COMMENT, MENU_TARGET, IS_DEL_ABLE, REG_USER, USE_YN ) VALUES('MA','74010100','74010000','알림마당','/ma/boardsample/normal/list.do','SUB','{}','','.mLayout:','/ma/boardsample/normal/list','10','{}','_self','','standard_ms','Y');</v>
      </c>
      <c r="T63" t="s">
        <v>946</v>
      </c>
    </row>
    <row r="64" spans="1:20" x14ac:dyDescent="0.4">
      <c r="A64" s="34"/>
      <c r="B64" s="34" t="s">
        <v>2</v>
      </c>
      <c r="C64" s="35" t="s">
        <v>854</v>
      </c>
      <c r="D64" s="35" t="s">
        <v>853</v>
      </c>
      <c r="E64" s="13" t="s">
        <v>539</v>
      </c>
      <c r="F64" s="13"/>
      <c r="G64" s="13"/>
      <c r="H64" s="13" t="s">
        <v>255</v>
      </c>
      <c r="I64" s="13">
        <v>4</v>
      </c>
      <c r="J64" s="13">
        <v>10</v>
      </c>
      <c r="K64" s="26" t="s">
        <v>546</v>
      </c>
      <c r="L64" s="13" t="s">
        <v>561</v>
      </c>
      <c r="M64" s="13"/>
      <c r="N64" s="13" t="s">
        <v>359</v>
      </c>
      <c r="O64" s="26" t="s">
        <v>554</v>
      </c>
      <c r="P64" s="13" t="s">
        <v>119</v>
      </c>
      <c r="Q64" s="13"/>
      <c r="R64" s="13" t="s">
        <v>144</v>
      </c>
      <c r="S64" s="8" t="str">
        <f t="shared" si="0"/>
        <v>INSERT INTO STB_B_MENU_MNG(MENU_DIV_CD, MENU_CD ,UPR_MENU_CD, KOR_NM, URL_ADDR, PAGE_CL, MENU_PARAM,MENU_CSS, LAY_OUT, RTN_URL , SORT_NO , MENU_COMMENT, MENU_TARGET, IS_DEL_ABLE, REG_USER, USE_YN ) VALUES('MA','74010101','74010100','알림마당등록','/ma/boardsample/normal/regist.do','SUB','{}','','.mLayout:','/ma/boardsample/normal/regist','10','{}','_self','','standard_ms','Y');</v>
      </c>
      <c r="T64" t="s">
        <v>947</v>
      </c>
    </row>
    <row r="65" spans="1:20" x14ac:dyDescent="0.4">
      <c r="A65" s="34"/>
      <c r="B65" s="34" t="s">
        <v>2</v>
      </c>
      <c r="C65" s="35" t="s">
        <v>855</v>
      </c>
      <c r="D65" s="35" t="s">
        <v>853</v>
      </c>
      <c r="E65" s="13" t="s">
        <v>540</v>
      </c>
      <c r="F65" s="13"/>
      <c r="G65" s="13"/>
      <c r="H65" s="13" t="s">
        <v>255</v>
      </c>
      <c r="I65" s="13">
        <v>4</v>
      </c>
      <c r="J65" s="13">
        <v>20</v>
      </c>
      <c r="K65" s="26" t="s">
        <v>547</v>
      </c>
      <c r="L65" s="13" t="s">
        <v>561</v>
      </c>
      <c r="M65" s="13"/>
      <c r="N65" s="13" t="s">
        <v>359</v>
      </c>
      <c r="O65" s="26" t="s">
        <v>555</v>
      </c>
      <c r="P65" s="13" t="s">
        <v>119</v>
      </c>
      <c r="Q65" s="13"/>
      <c r="R65" s="13" t="s">
        <v>144</v>
      </c>
      <c r="S65" s="8" t="str">
        <f t="shared" si="0"/>
        <v>INSERT INTO STB_B_MENU_MNG(MENU_DIV_CD, MENU_CD ,UPR_MENU_CD, KOR_NM, URL_ADDR, PAGE_CL, MENU_PARAM,MENU_CSS, LAY_OUT, RTN_URL , SORT_NO , MENU_COMMENT, MENU_TARGET, IS_DEL_ABLE, REG_USER, USE_YN ) VALUES('MA','74010102','74010100','알림마당상세(삭제)','/ma/boardsample/normal/view.do','SUB','{}','','.mLayout:','/ma/boardsample/normal/view','20','{}','_self','','standard_ms','Y');</v>
      </c>
      <c r="T65" t="s">
        <v>948</v>
      </c>
    </row>
    <row r="66" spans="1:20" x14ac:dyDescent="0.4">
      <c r="A66" s="34"/>
      <c r="B66" s="34" t="s">
        <v>2</v>
      </c>
      <c r="C66" s="35" t="s">
        <v>856</v>
      </c>
      <c r="D66" s="35" t="s">
        <v>853</v>
      </c>
      <c r="E66" s="13" t="s">
        <v>541</v>
      </c>
      <c r="F66" s="13"/>
      <c r="G66" s="13"/>
      <c r="H66" s="13" t="s">
        <v>255</v>
      </c>
      <c r="I66" s="13">
        <v>4</v>
      </c>
      <c r="J66" s="13">
        <v>30</v>
      </c>
      <c r="K66" s="26" t="s">
        <v>548</v>
      </c>
      <c r="L66" s="13" t="s">
        <v>561</v>
      </c>
      <c r="M66" s="13"/>
      <c r="N66" s="13" t="s">
        <v>359</v>
      </c>
      <c r="O66" s="26" t="s">
        <v>556</v>
      </c>
      <c r="P66" s="13" t="s">
        <v>119</v>
      </c>
      <c r="Q66" s="13"/>
      <c r="R66" s="13" t="s">
        <v>144</v>
      </c>
      <c r="S66" s="8" t="str">
        <f t="shared" si="0"/>
        <v>INSERT INTO STB_B_MENU_MNG(MENU_DIV_CD, MENU_CD ,UPR_MENU_CD, KOR_NM, URL_ADDR, PAGE_CL, MENU_PARAM,MENU_CSS, LAY_OUT, RTN_URL , SORT_NO , MENU_COMMENT, MENU_TARGET, IS_DEL_ABLE, REG_USER, USE_YN ) VALUES('MA','74010103','74010100','알림마당수정','/ma/boardsample/normal/update.do','SUB','{}','','.mLayout:','/ma/boardsample/normal/update','30','{}','_self','','standard_ms','Y');</v>
      </c>
      <c r="T66" t="s">
        <v>949</v>
      </c>
    </row>
    <row r="67" spans="1:20" x14ac:dyDescent="0.4">
      <c r="A67" s="34"/>
      <c r="B67" s="34" t="s">
        <v>2</v>
      </c>
      <c r="C67" s="35" t="s">
        <v>857</v>
      </c>
      <c r="D67" s="35" t="s">
        <v>852</v>
      </c>
      <c r="E67" s="13" t="s">
        <v>77</v>
      </c>
      <c r="F67" s="13"/>
      <c r="G67" s="13"/>
      <c r="H67" s="13" t="s">
        <v>254</v>
      </c>
      <c r="I67" s="13">
        <v>3</v>
      </c>
      <c r="J67" s="13">
        <v>20</v>
      </c>
      <c r="K67" s="26" t="s">
        <v>552</v>
      </c>
      <c r="L67" s="13" t="s">
        <v>561</v>
      </c>
      <c r="M67" s="13"/>
      <c r="N67" s="13" t="s">
        <v>359</v>
      </c>
      <c r="O67" s="26" t="s">
        <v>557</v>
      </c>
      <c r="P67" s="13" t="s">
        <v>119</v>
      </c>
      <c r="Q67" s="13"/>
      <c r="R67" s="13" t="s">
        <v>144</v>
      </c>
      <c r="S67" s="8" t="str">
        <f t="shared" si="0"/>
        <v>INSERT INTO STB_B_MENU_MNG(MENU_DIV_CD, MENU_CD ,UPR_MENU_CD, KOR_NM, URL_ADDR, PAGE_CL, MENU_PARAM,MENU_CSS, LAY_OUT, RTN_URL , SORT_NO , MENU_COMMENT, MENU_TARGET, IS_DEL_ABLE, REG_USER, USE_YN ) VALUES('MA','74010200','74010000','공지사항','/ma/boardsample/notice/list.do','MAIN','{}','','.mLayout:','/ma/boardsample/notice/list','20','{}','_self','','standard_ms','Y');</v>
      </c>
      <c r="T67" t="s">
        <v>950</v>
      </c>
    </row>
    <row r="68" spans="1:20" x14ac:dyDescent="0.4">
      <c r="A68" s="34"/>
      <c r="B68" s="34" t="s">
        <v>2</v>
      </c>
      <c r="C68" s="35" t="s">
        <v>858</v>
      </c>
      <c r="D68" s="35" t="s">
        <v>857</v>
      </c>
      <c r="E68" s="13" t="s">
        <v>543</v>
      </c>
      <c r="F68" s="13"/>
      <c r="G68" s="13"/>
      <c r="H68" s="13" t="s">
        <v>255</v>
      </c>
      <c r="I68" s="13">
        <v>4</v>
      </c>
      <c r="J68" s="13">
        <v>10</v>
      </c>
      <c r="K68" s="26" t="s">
        <v>550</v>
      </c>
      <c r="L68" s="13" t="s">
        <v>561</v>
      </c>
      <c r="M68" s="13"/>
      <c r="N68" s="13" t="s">
        <v>359</v>
      </c>
      <c r="O68" s="26" t="s">
        <v>558</v>
      </c>
      <c r="P68" s="13" t="s">
        <v>119</v>
      </c>
      <c r="Q68" s="13"/>
      <c r="R68" s="13" t="s">
        <v>144</v>
      </c>
      <c r="S68" s="8" t="str">
        <f t="shared" si="0"/>
        <v>INSERT INTO STB_B_MENU_MNG(MENU_DIV_CD, MENU_CD ,UPR_MENU_CD, KOR_NM, URL_ADDR, PAGE_CL, MENU_PARAM,MENU_CSS, LAY_OUT, RTN_URL , SORT_NO , MENU_COMMENT, MENU_TARGET, IS_DEL_ABLE, REG_USER, USE_YN ) VALUES('MA','74010201','74010200','공지사항등록','/ma/boardsample/notice/regist.do','SUB','{}','','.mLayout:','/ma/boardsample/notice/regist','10','{}','_self','','standard_ms','Y');</v>
      </c>
      <c r="T68" t="s">
        <v>951</v>
      </c>
    </row>
    <row r="69" spans="1:20" x14ac:dyDescent="0.4">
      <c r="A69" s="34"/>
      <c r="B69" s="34" t="s">
        <v>2</v>
      </c>
      <c r="C69" s="35" t="s">
        <v>859</v>
      </c>
      <c r="D69" s="35" t="s">
        <v>857</v>
      </c>
      <c r="E69" s="13" t="s">
        <v>544</v>
      </c>
      <c r="F69" s="13"/>
      <c r="G69" s="13"/>
      <c r="H69" s="13" t="s">
        <v>255</v>
      </c>
      <c r="I69" s="13">
        <v>4</v>
      </c>
      <c r="J69" s="13">
        <v>20</v>
      </c>
      <c r="K69" s="26" t="s">
        <v>551</v>
      </c>
      <c r="L69" s="13" t="s">
        <v>561</v>
      </c>
      <c r="M69" s="13"/>
      <c r="N69" s="13" t="s">
        <v>359</v>
      </c>
      <c r="O69" s="26" t="s">
        <v>559</v>
      </c>
      <c r="P69" s="13" t="s">
        <v>119</v>
      </c>
      <c r="Q69" s="13"/>
      <c r="R69" s="13" t="s">
        <v>144</v>
      </c>
      <c r="S69" s="8" t="str">
        <f t="shared" ref="S69:S120" si="1">"INSERT INTO STB_B_MENU_MNG(MENU_DIV_CD, MENU_CD ,UPR_MENU_CD, KOR_NM, URL_ADDR, PAGE_CL, MENU_PARAM,MENU_CSS, LAY_OUT, RTN_URL , SORT_NO , MENU_COMMENT, MENU_TARGET, IS_DEL_ABLE, REG_USER, USE_YN ) VALUES('"&amp;B69&amp;"','"&amp;C69&amp;"','"&amp;D69&amp;"','"&amp;E69&amp;"','"&amp;K69&amp;"','"&amp;H69&amp;"','"&amp;L69&amp;"','"&amp;M69&amp;"','"&amp;N69&amp;"','"&amp;O69&amp;"','"&amp;J69&amp;"','"&amp;L69&amp;"','"&amp;P69&amp;"','"&amp;Q69&amp;"','standard_ms','"&amp;R69&amp;"');"</f>
        <v>INSERT INTO STB_B_MENU_MNG(MENU_DIV_CD, MENU_CD ,UPR_MENU_CD, KOR_NM, URL_ADDR, PAGE_CL, MENU_PARAM,MENU_CSS, LAY_OUT, RTN_URL , SORT_NO , MENU_COMMENT, MENU_TARGET, IS_DEL_ABLE, REG_USER, USE_YN ) VALUES('MA','74010202','74010200','공지사항상세(삭제)','/ma/boardsample/notice/view.do','SUB','{}','','.mLayout:','/ma/boardsample/notice/view','20','{}','_self','','standard_ms','Y');</v>
      </c>
      <c r="T69" t="s">
        <v>952</v>
      </c>
    </row>
    <row r="70" spans="1:20" x14ac:dyDescent="0.4">
      <c r="A70" s="34"/>
      <c r="B70" s="34" t="s">
        <v>2</v>
      </c>
      <c r="C70" s="35" t="s">
        <v>860</v>
      </c>
      <c r="D70" s="35" t="s">
        <v>857</v>
      </c>
      <c r="E70" s="13" t="s">
        <v>545</v>
      </c>
      <c r="F70" s="13"/>
      <c r="G70" s="13"/>
      <c r="H70" s="13" t="s">
        <v>255</v>
      </c>
      <c r="I70" s="13">
        <v>4</v>
      </c>
      <c r="J70" s="13">
        <v>30</v>
      </c>
      <c r="K70" s="26" t="s">
        <v>549</v>
      </c>
      <c r="L70" s="13" t="s">
        <v>561</v>
      </c>
      <c r="M70" s="13"/>
      <c r="N70" s="13" t="s">
        <v>359</v>
      </c>
      <c r="O70" s="26" t="s">
        <v>560</v>
      </c>
      <c r="P70" s="13" t="s">
        <v>119</v>
      </c>
      <c r="Q70" s="13"/>
      <c r="R70" s="13" t="s">
        <v>144</v>
      </c>
      <c r="S70" s="8" t="str">
        <f t="shared" si="1"/>
        <v>INSERT INTO STB_B_MENU_MNG(MENU_DIV_CD, MENU_CD ,UPR_MENU_CD, KOR_NM, URL_ADDR, PAGE_CL, MENU_PARAM,MENU_CSS, LAY_OUT, RTN_URL , SORT_NO , MENU_COMMENT, MENU_TARGET, IS_DEL_ABLE, REG_USER, USE_YN ) VALUES('MA','74010203','74010200','공지사항수정','/ma/boardsample/notice/update.do','SUB','{}','','.mLayout:','/ma/boardsample/notice/update','30','{}','_self','','standard_ms','Y');</v>
      </c>
      <c r="T70" t="s">
        <v>953</v>
      </c>
    </row>
    <row r="71" spans="1:20" x14ac:dyDescent="0.4">
      <c r="A71" s="34"/>
      <c r="B71" s="34" t="s">
        <v>2</v>
      </c>
      <c r="C71" s="35" t="s">
        <v>861</v>
      </c>
      <c r="D71" s="35" t="s">
        <v>852</v>
      </c>
      <c r="E71" s="13" t="s">
        <v>74</v>
      </c>
      <c r="F71" s="13"/>
      <c r="G71" s="13"/>
      <c r="H71" s="13" t="s">
        <v>254</v>
      </c>
      <c r="I71" s="13">
        <v>3</v>
      </c>
      <c r="J71" s="13">
        <v>30</v>
      </c>
      <c r="K71" s="26" t="s">
        <v>478</v>
      </c>
      <c r="L71" s="13" t="s">
        <v>561</v>
      </c>
      <c r="M71" s="13"/>
      <c r="N71" s="13" t="s">
        <v>359</v>
      </c>
      <c r="O71" s="26" t="s">
        <v>516</v>
      </c>
      <c r="P71" s="13" t="s">
        <v>119</v>
      </c>
      <c r="Q71" s="13"/>
      <c r="R71" s="13" t="s">
        <v>144</v>
      </c>
      <c r="S71" s="8" t="str">
        <f t="shared" si="1"/>
        <v>INSERT INTO STB_B_MENU_MNG(MENU_DIV_CD, MENU_CD ,UPR_MENU_CD, KOR_NM, URL_ADDR, PAGE_CL, MENU_PARAM,MENU_CSS, LAY_OUT, RTN_URL , SORT_NO , MENU_COMMENT, MENU_TARGET, IS_DEL_ABLE, REG_USER, USE_YN ) VALUES('MA','74010300','74010000','FAQ','/ma/boardsample/faq/list.do','MAIN','{}','','.mLayout:','/ma/boardsample/faq/list','30','{}','_self','','standard_ms','Y');</v>
      </c>
      <c r="T71" t="s">
        <v>954</v>
      </c>
    </row>
    <row r="72" spans="1:20" x14ac:dyDescent="0.4">
      <c r="A72" s="34"/>
      <c r="B72" s="34" t="s">
        <v>2</v>
      </c>
      <c r="C72" s="35" t="s">
        <v>862</v>
      </c>
      <c r="D72" s="35" t="s">
        <v>861</v>
      </c>
      <c r="E72" s="13" t="s">
        <v>442</v>
      </c>
      <c r="F72" s="13"/>
      <c r="G72" s="13"/>
      <c r="H72" s="13" t="s">
        <v>255</v>
      </c>
      <c r="I72" s="13">
        <v>4</v>
      </c>
      <c r="J72" s="13">
        <v>10</v>
      </c>
      <c r="K72" s="26" t="s">
        <v>479</v>
      </c>
      <c r="L72" s="13" t="s">
        <v>561</v>
      </c>
      <c r="M72" s="13"/>
      <c r="N72" s="13" t="s">
        <v>359</v>
      </c>
      <c r="O72" s="26" t="s">
        <v>517</v>
      </c>
      <c r="P72" s="13" t="s">
        <v>119</v>
      </c>
      <c r="Q72" s="13"/>
      <c r="R72" s="13" t="s">
        <v>144</v>
      </c>
      <c r="S72" s="8" t="str">
        <f t="shared" si="1"/>
        <v>INSERT INTO STB_B_MENU_MNG(MENU_DIV_CD, MENU_CD ,UPR_MENU_CD, KOR_NM, URL_ADDR, PAGE_CL, MENU_PARAM,MENU_CSS, LAY_OUT, RTN_URL , SORT_NO , MENU_COMMENT, MENU_TARGET, IS_DEL_ABLE, REG_USER, USE_YN ) VALUES('MA','74010301','74010300','FAQ등록','/ma/boardsample/faq/regist.do','SUB','{}','','.mLayout:','/ma/boardsample/faq/regist','10','{}','_self','','standard_ms','Y');</v>
      </c>
      <c r="T72" t="s">
        <v>955</v>
      </c>
    </row>
    <row r="73" spans="1:20" x14ac:dyDescent="0.4">
      <c r="A73" s="34"/>
      <c r="B73" s="34" t="s">
        <v>2</v>
      </c>
      <c r="C73" s="35" t="s">
        <v>863</v>
      </c>
      <c r="D73" s="35" t="s">
        <v>861</v>
      </c>
      <c r="E73" s="13" t="s">
        <v>450</v>
      </c>
      <c r="F73" s="13"/>
      <c r="G73" s="13"/>
      <c r="H73" s="13" t="s">
        <v>255</v>
      </c>
      <c r="I73" s="13">
        <v>4</v>
      </c>
      <c r="J73" s="13">
        <v>20</v>
      </c>
      <c r="K73" s="26" t="s">
        <v>480</v>
      </c>
      <c r="L73" s="13" t="s">
        <v>561</v>
      </c>
      <c r="M73" s="13"/>
      <c r="N73" s="13" t="s">
        <v>359</v>
      </c>
      <c r="O73" s="26" t="s">
        <v>518</v>
      </c>
      <c r="P73" s="13" t="s">
        <v>119</v>
      </c>
      <c r="Q73" s="13"/>
      <c r="R73" s="13" t="s">
        <v>144</v>
      </c>
      <c r="S73" s="8" t="str">
        <f t="shared" si="1"/>
        <v>INSERT INTO STB_B_MENU_MNG(MENU_DIV_CD, MENU_CD ,UPR_MENU_CD, KOR_NM, URL_ADDR, PAGE_CL, MENU_PARAM,MENU_CSS, LAY_OUT, RTN_URL , SORT_NO , MENU_COMMENT, MENU_TARGET, IS_DEL_ABLE, REG_USER, USE_YN ) VALUES('MA','74010302','74010300','FAQ상세(삭제)','/ma/boardsample/faq/view.do','SUB','{}','','.mLayout:','/ma/boardsample/faq/view','20','{}','_self','','standard_ms','Y');</v>
      </c>
      <c r="T73" t="s">
        <v>956</v>
      </c>
    </row>
    <row r="74" spans="1:20" x14ac:dyDescent="0.4">
      <c r="A74" s="34"/>
      <c r="B74" s="34" t="s">
        <v>2</v>
      </c>
      <c r="C74" s="35" t="s">
        <v>864</v>
      </c>
      <c r="D74" s="35" t="s">
        <v>861</v>
      </c>
      <c r="E74" s="13" t="s">
        <v>443</v>
      </c>
      <c r="F74" s="13"/>
      <c r="G74" s="13"/>
      <c r="H74" s="13" t="s">
        <v>255</v>
      </c>
      <c r="I74" s="13">
        <v>4</v>
      </c>
      <c r="J74" s="13">
        <v>30</v>
      </c>
      <c r="K74" s="26" t="s">
        <v>483</v>
      </c>
      <c r="L74" s="13" t="s">
        <v>561</v>
      </c>
      <c r="M74" s="13"/>
      <c r="N74" s="13" t="s">
        <v>359</v>
      </c>
      <c r="O74" s="26" t="s">
        <v>519</v>
      </c>
      <c r="P74" s="13" t="s">
        <v>119</v>
      </c>
      <c r="Q74" s="13"/>
      <c r="R74" s="13" t="s">
        <v>144</v>
      </c>
      <c r="S74" s="8" t="str">
        <f t="shared" si="1"/>
        <v>INSERT INTO STB_B_MENU_MNG(MENU_DIV_CD, MENU_CD ,UPR_MENU_CD, KOR_NM, URL_ADDR, PAGE_CL, MENU_PARAM,MENU_CSS, LAY_OUT, RTN_URL , SORT_NO , MENU_COMMENT, MENU_TARGET, IS_DEL_ABLE, REG_USER, USE_YN ) VALUES('MA','74010303','74010300','FAQ수정','/ma/boardsample/faq/update.do','SUB','{}','','.mLayout:','/ma/boardsample/faq/update','30','{}','_self','','standard_ms','Y');</v>
      </c>
      <c r="T74" t="s">
        <v>957</v>
      </c>
    </row>
    <row r="75" spans="1:20" x14ac:dyDescent="0.4">
      <c r="A75" s="34"/>
      <c r="B75" s="34" t="s">
        <v>2</v>
      </c>
      <c r="C75" s="35" t="s">
        <v>865</v>
      </c>
      <c r="D75" s="35" t="s">
        <v>852</v>
      </c>
      <c r="E75" s="13" t="s">
        <v>75</v>
      </c>
      <c r="F75" s="13"/>
      <c r="G75" s="13"/>
      <c r="H75" s="13" t="s">
        <v>254</v>
      </c>
      <c r="I75" s="13">
        <v>3</v>
      </c>
      <c r="J75" s="13">
        <v>40</v>
      </c>
      <c r="K75" s="26" t="s">
        <v>482</v>
      </c>
      <c r="L75" s="13" t="s">
        <v>561</v>
      </c>
      <c r="M75" s="13"/>
      <c r="N75" s="13" t="s">
        <v>359</v>
      </c>
      <c r="O75" s="26" t="s">
        <v>520</v>
      </c>
      <c r="P75" s="13" t="s">
        <v>119</v>
      </c>
      <c r="Q75" s="13"/>
      <c r="R75" s="13" t="s">
        <v>144</v>
      </c>
      <c r="S75" s="8" t="str">
        <f t="shared" si="1"/>
        <v>INSERT INTO STB_B_MENU_MNG(MENU_DIV_CD, MENU_CD ,UPR_MENU_CD, KOR_NM, URL_ADDR, PAGE_CL, MENU_PARAM,MENU_CSS, LAY_OUT, RTN_URL , SORT_NO , MENU_COMMENT, MENU_TARGET, IS_DEL_ABLE, REG_USER, USE_YN ) VALUES('MA','74010400','74010000','QNA','/ma/boardsample/qna/list.do','MAIN','{}','','.mLayout:','/ma/boardsample/qna/list','40','{}','_self','','standard_ms','Y');</v>
      </c>
      <c r="T75" t="s">
        <v>958</v>
      </c>
    </row>
    <row r="76" spans="1:20" x14ac:dyDescent="0.4">
      <c r="A76" s="34"/>
      <c r="B76" s="34" t="s">
        <v>2</v>
      </c>
      <c r="C76" s="35" t="s">
        <v>866</v>
      </c>
      <c r="D76" s="35" t="s">
        <v>865</v>
      </c>
      <c r="E76" s="13" t="s">
        <v>444</v>
      </c>
      <c r="F76" s="13"/>
      <c r="G76" s="13"/>
      <c r="H76" s="13" t="s">
        <v>255</v>
      </c>
      <c r="I76" s="13">
        <v>4</v>
      </c>
      <c r="J76" s="13">
        <v>10</v>
      </c>
      <c r="K76" s="26" t="s">
        <v>484</v>
      </c>
      <c r="L76" s="13" t="s">
        <v>561</v>
      </c>
      <c r="M76" s="13"/>
      <c r="N76" s="13" t="s">
        <v>359</v>
      </c>
      <c r="O76" s="26" t="s">
        <v>521</v>
      </c>
      <c r="P76" s="13" t="s">
        <v>119</v>
      </c>
      <c r="Q76" s="13"/>
      <c r="R76" s="13" t="s">
        <v>144</v>
      </c>
      <c r="S76" s="8" t="str">
        <f t="shared" si="1"/>
        <v>INSERT INTO STB_B_MENU_MNG(MENU_DIV_CD, MENU_CD ,UPR_MENU_CD, KOR_NM, URL_ADDR, PAGE_CL, MENU_PARAM,MENU_CSS, LAY_OUT, RTN_URL , SORT_NO , MENU_COMMENT, MENU_TARGET, IS_DEL_ABLE, REG_USER, USE_YN ) VALUES('MA','74010401','74010400','QNA등록','/ma/boardsample/qna/regist.do','SUB','{}','','.mLayout:','/ma/boardsample/qna/regist','10','{}','_self','','standard_ms','Y');</v>
      </c>
      <c r="T76" t="s">
        <v>959</v>
      </c>
    </row>
    <row r="77" spans="1:20" x14ac:dyDescent="0.4">
      <c r="A77" s="34"/>
      <c r="B77" s="34" t="s">
        <v>2</v>
      </c>
      <c r="C77" s="35" t="s">
        <v>867</v>
      </c>
      <c r="D77" s="35" t="s">
        <v>865</v>
      </c>
      <c r="E77" s="13" t="s">
        <v>449</v>
      </c>
      <c r="F77" s="13"/>
      <c r="G77" s="13"/>
      <c r="H77" s="13" t="s">
        <v>255</v>
      </c>
      <c r="I77" s="13">
        <v>4</v>
      </c>
      <c r="J77" s="13">
        <v>20</v>
      </c>
      <c r="K77" s="26" t="s">
        <v>481</v>
      </c>
      <c r="L77" s="13" t="s">
        <v>561</v>
      </c>
      <c r="M77" s="13"/>
      <c r="N77" s="13" t="s">
        <v>359</v>
      </c>
      <c r="O77" s="26" t="s">
        <v>522</v>
      </c>
      <c r="P77" s="13" t="s">
        <v>119</v>
      </c>
      <c r="Q77" s="13"/>
      <c r="R77" s="13" t="s">
        <v>144</v>
      </c>
      <c r="S77" s="8" t="str">
        <f t="shared" si="1"/>
        <v>INSERT INTO STB_B_MENU_MNG(MENU_DIV_CD, MENU_CD ,UPR_MENU_CD, KOR_NM, URL_ADDR, PAGE_CL, MENU_PARAM,MENU_CSS, LAY_OUT, RTN_URL , SORT_NO , MENU_COMMENT, MENU_TARGET, IS_DEL_ABLE, REG_USER, USE_YN ) VALUES('MA','74010402','74010400','QNA상세(삭제)','/ma/boardsample/qna/view.do','SUB','{}','','.mLayout:','/ma/boardsample/qna/view','20','{}','_self','','standard_ms','Y');</v>
      </c>
      <c r="T77" t="s">
        <v>960</v>
      </c>
    </row>
    <row r="78" spans="1:20" x14ac:dyDescent="0.4">
      <c r="A78" s="34"/>
      <c r="B78" s="34" t="s">
        <v>2</v>
      </c>
      <c r="C78" s="35" t="s">
        <v>868</v>
      </c>
      <c r="D78" s="35" t="s">
        <v>865</v>
      </c>
      <c r="E78" s="13" t="s">
        <v>445</v>
      </c>
      <c r="F78" s="13"/>
      <c r="G78" s="13"/>
      <c r="H78" s="13" t="s">
        <v>255</v>
      </c>
      <c r="I78" s="13">
        <v>4</v>
      </c>
      <c r="J78" s="13">
        <v>30</v>
      </c>
      <c r="K78" s="26" t="s">
        <v>485</v>
      </c>
      <c r="L78" s="13" t="s">
        <v>561</v>
      </c>
      <c r="M78" s="13"/>
      <c r="N78" s="13" t="s">
        <v>359</v>
      </c>
      <c r="O78" s="26" t="s">
        <v>523</v>
      </c>
      <c r="P78" s="13" t="s">
        <v>119</v>
      </c>
      <c r="Q78" s="13"/>
      <c r="R78" s="13" t="s">
        <v>144</v>
      </c>
      <c r="S78" s="8" t="str">
        <f t="shared" si="1"/>
        <v>INSERT INTO STB_B_MENU_MNG(MENU_DIV_CD, MENU_CD ,UPR_MENU_CD, KOR_NM, URL_ADDR, PAGE_CL, MENU_PARAM,MENU_CSS, LAY_OUT, RTN_URL , SORT_NO , MENU_COMMENT, MENU_TARGET, IS_DEL_ABLE, REG_USER, USE_YN ) VALUES('MA','74010403','74010400','QNA수정','/ma/boardsample/qna/update.do','SUB','{}','','.mLayout:','/ma/boardsample/qna/update','30','{}','_self','','standard_ms','Y');</v>
      </c>
      <c r="T78" t="s">
        <v>961</v>
      </c>
    </row>
    <row r="79" spans="1:20" x14ac:dyDescent="0.4">
      <c r="A79" s="34"/>
      <c r="B79" s="34" t="s">
        <v>2</v>
      </c>
      <c r="C79" s="35" t="s">
        <v>869</v>
      </c>
      <c r="D79" s="35" t="s">
        <v>852</v>
      </c>
      <c r="E79" s="13" t="s">
        <v>440</v>
      </c>
      <c r="F79" s="13"/>
      <c r="G79" s="13"/>
      <c r="H79" s="13" t="s">
        <v>254</v>
      </c>
      <c r="I79" s="13">
        <v>3</v>
      </c>
      <c r="J79" s="13">
        <v>50</v>
      </c>
      <c r="K79" s="26" t="s">
        <v>486</v>
      </c>
      <c r="L79" s="13" t="s">
        <v>561</v>
      </c>
      <c r="M79" s="13"/>
      <c r="N79" s="13" t="s">
        <v>359</v>
      </c>
      <c r="O79" s="26" t="s">
        <v>524</v>
      </c>
      <c r="P79" s="13" t="s">
        <v>119</v>
      </c>
      <c r="Q79" s="13"/>
      <c r="R79" s="13" t="s">
        <v>144</v>
      </c>
      <c r="S79" s="8" t="str">
        <f t="shared" si="1"/>
        <v>INSERT INTO STB_B_MENU_MNG(MENU_DIV_CD, MENU_CD ,UPR_MENU_CD, KOR_NM, URL_ADDR, PAGE_CL, MENU_PARAM,MENU_CSS, LAY_OUT, RTN_URL , SORT_NO , MENU_COMMENT, MENU_TARGET, IS_DEL_ABLE, REG_USER, USE_YN ) VALUES('MA','74010500','74010000','비밀게시판','/ma/boardsample/scret/list.do','MAIN','{}','','.mLayout:','/ma/boardsample/scret/list','50','{}','_self','','standard_ms','Y');</v>
      </c>
      <c r="T79" t="s">
        <v>962</v>
      </c>
    </row>
    <row r="80" spans="1:20" x14ac:dyDescent="0.4">
      <c r="A80" s="34"/>
      <c r="B80" s="34" t="s">
        <v>2</v>
      </c>
      <c r="C80" s="35" t="s">
        <v>870</v>
      </c>
      <c r="D80" s="35" t="s">
        <v>869</v>
      </c>
      <c r="E80" s="13" t="s">
        <v>446</v>
      </c>
      <c r="F80" s="13"/>
      <c r="G80" s="13"/>
      <c r="H80" s="13" t="s">
        <v>255</v>
      </c>
      <c r="I80" s="13">
        <v>4</v>
      </c>
      <c r="J80" s="13">
        <v>10</v>
      </c>
      <c r="K80" s="26" t="s">
        <v>488</v>
      </c>
      <c r="L80" s="13" t="s">
        <v>561</v>
      </c>
      <c r="M80" s="13"/>
      <c r="N80" s="13" t="s">
        <v>359</v>
      </c>
      <c r="O80" s="26" t="s">
        <v>525</v>
      </c>
      <c r="P80" s="13" t="s">
        <v>119</v>
      </c>
      <c r="Q80" s="13"/>
      <c r="R80" s="13" t="s">
        <v>144</v>
      </c>
      <c r="S80" s="8" t="str">
        <f t="shared" si="1"/>
        <v>INSERT INTO STB_B_MENU_MNG(MENU_DIV_CD, MENU_CD ,UPR_MENU_CD, KOR_NM, URL_ADDR, PAGE_CL, MENU_PARAM,MENU_CSS, LAY_OUT, RTN_URL , SORT_NO , MENU_COMMENT, MENU_TARGET, IS_DEL_ABLE, REG_USER, USE_YN ) VALUES('MA','74010501','74010500','비밀게시판 등록','/ma/boardsample/scret/regist.do','SUB','{}','','.mLayout:','/ma/boardsample/scret/regist','10','{}','_self','','standard_ms','Y');</v>
      </c>
      <c r="T80" t="s">
        <v>963</v>
      </c>
    </row>
    <row r="81" spans="1:20" x14ac:dyDescent="0.4">
      <c r="A81" s="34"/>
      <c r="B81" s="34" t="s">
        <v>2</v>
      </c>
      <c r="C81" s="35" t="s">
        <v>871</v>
      </c>
      <c r="D81" s="35" t="s">
        <v>869</v>
      </c>
      <c r="E81" s="13" t="s">
        <v>448</v>
      </c>
      <c r="F81" s="13"/>
      <c r="G81" s="13"/>
      <c r="H81" s="13" t="s">
        <v>255</v>
      </c>
      <c r="I81" s="13">
        <v>4</v>
      </c>
      <c r="J81" s="13">
        <v>20</v>
      </c>
      <c r="K81" s="26" t="s">
        <v>487</v>
      </c>
      <c r="L81" s="13" t="s">
        <v>561</v>
      </c>
      <c r="M81" s="13"/>
      <c r="N81" s="13" t="s">
        <v>359</v>
      </c>
      <c r="O81" s="26" t="s">
        <v>526</v>
      </c>
      <c r="P81" s="13" t="s">
        <v>119</v>
      </c>
      <c r="Q81" s="13"/>
      <c r="R81" s="13" t="s">
        <v>144</v>
      </c>
      <c r="S81" s="8" t="str">
        <f t="shared" si="1"/>
        <v>INSERT INTO STB_B_MENU_MNG(MENU_DIV_CD, MENU_CD ,UPR_MENU_CD, KOR_NM, URL_ADDR, PAGE_CL, MENU_PARAM,MENU_CSS, LAY_OUT, RTN_URL , SORT_NO , MENU_COMMENT, MENU_TARGET, IS_DEL_ABLE, REG_USER, USE_YN ) VALUES('MA','74010502','74010500','비밀게시판 상세(삭제)','/ma/boardsample/scret/view.do','SUB','{}','','.mLayout:','/ma/boardsample/scret/view','20','{}','_self','','standard_ms','Y');</v>
      </c>
      <c r="T81" t="s">
        <v>964</v>
      </c>
    </row>
    <row r="82" spans="1:20" x14ac:dyDescent="0.4">
      <c r="A82" s="34"/>
      <c r="B82" s="34" t="s">
        <v>2</v>
      </c>
      <c r="C82" s="35" t="s">
        <v>872</v>
      </c>
      <c r="D82" s="35" t="s">
        <v>869</v>
      </c>
      <c r="E82" s="13" t="s">
        <v>447</v>
      </c>
      <c r="F82" s="13"/>
      <c r="G82" s="13"/>
      <c r="H82" s="13" t="s">
        <v>255</v>
      </c>
      <c r="I82" s="13">
        <v>4</v>
      </c>
      <c r="J82" s="13">
        <v>30</v>
      </c>
      <c r="K82" s="26" t="s">
        <v>489</v>
      </c>
      <c r="L82" s="13" t="s">
        <v>561</v>
      </c>
      <c r="M82" s="13"/>
      <c r="N82" s="13" t="s">
        <v>359</v>
      </c>
      <c r="O82" s="26" t="s">
        <v>527</v>
      </c>
      <c r="P82" s="13" t="s">
        <v>119</v>
      </c>
      <c r="Q82" s="13"/>
      <c r="R82" s="13" t="s">
        <v>144</v>
      </c>
      <c r="S82" s="8" t="str">
        <f t="shared" si="1"/>
        <v>INSERT INTO STB_B_MENU_MNG(MENU_DIV_CD, MENU_CD ,UPR_MENU_CD, KOR_NM, URL_ADDR, PAGE_CL, MENU_PARAM,MENU_CSS, LAY_OUT, RTN_URL , SORT_NO , MENU_COMMENT, MENU_TARGET, IS_DEL_ABLE, REG_USER, USE_YN ) VALUES('MA','74010503','74010500','비밀게시판 수정','/ma/boardsample/scret/update.do','SUB','{}','','.mLayout:','/ma/boardsample/scret/update','30','{}','_self','','standard_ms','Y');</v>
      </c>
      <c r="T82" t="s">
        <v>965</v>
      </c>
    </row>
    <row r="83" spans="1:20" x14ac:dyDescent="0.4">
      <c r="A83" s="34"/>
      <c r="B83" s="34" t="s">
        <v>2</v>
      </c>
      <c r="C83" s="35" t="s">
        <v>873</v>
      </c>
      <c r="D83" s="35" t="s">
        <v>852</v>
      </c>
      <c r="E83" s="13" t="s">
        <v>85</v>
      </c>
      <c r="F83" s="13"/>
      <c r="G83" s="13"/>
      <c r="H83" s="13" t="s">
        <v>254</v>
      </c>
      <c r="I83" s="13">
        <v>3</v>
      </c>
      <c r="J83" s="13">
        <v>60</v>
      </c>
      <c r="K83" s="26" t="s">
        <v>490</v>
      </c>
      <c r="L83" s="13" t="s">
        <v>561</v>
      </c>
      <c r="M83" s="13"/>
      <c r="N83" s="13" t="s">
        <v>359</v>
      </c>
      <c r="O83" s="26" t="s">
        <v>528</v>
      </c>
      <c r="P83" s="13" t="s">
        <v>119</v>
      </c>
      <c r="Q83" s="13"/>
      <c r="R83" s="13" t="s">
        <v>144</v>
      </c>
      <c r="S83" s="8" t="str">
        <f t="shared" si="1"/>
        <v>INSERT INTO STB_B_MENU_MNG(MENU_DIV_CD, MENU_CD ,UPR_MENU_CD, KOR_NM, URL_ADDR, PAGE_CL, MENU_PARAM,MENU_CSS, LAY_OUT, RTN_URL , SORT_NO , MENU_COMMENT, MENU_TARGET, IS_DEL_ABLE, REG_USER, USE_YN ) VALUES('MA','74010600','74010000','갤러리','/ma/boardsample/gallery/list.do','MAIN','{}','','.mLayout:','/ma/boardsample/gallery/list','60','{}','_self','','standard_ms','Y');</v>
      </c>
      <c r="T83" t="s">
        <v>966</v>
      </c>
    </row>
    <row r="84" spans="1:20" x14ac:dyDescent="0.4">
      <c r="A84" s="34"/>
      <c r="B84" s="34" t="s">
        <v>2</v>
      </c>
      <c r="C84" s="35" t="s">
        <v>874</v>
      </c>
      <c r="D84" s="35" t="s">
        <v>873</v>
      </c>
      <c r="E84" s="13" t="s">
        <v>458</v>
      </c>
      <c r="F84" s="13"/>
      <c r="G84" s="13"/>
      <c r="H84" s="13" t="s">
        <v>255</v>
      </c>
      <c r="I84" s="13">
        <v>4</v>
      </c>
      <c r="J84" s="13">
        <v>10</v>
      </c>
      <c r="K84" s="26" t="s">
        <v>491</v>
      </c>
      <c r="L84" s="13" t="s">
        <v>561</v>
      </c>
      <c r="M84" s="13"/>
      <c r="N84" s="13" t="s">
        <v>359</v>
      </c>
      <c r="O84" s="26" t="s">
        <v>529</v>
      </c>
      <c r="P84" s="13" t="s">
        <v>119</v>
      </c>
      <c r="Q84" s="13"/>
      <c r="R84" s="13" t="s">
        <v>144</v>
      </c>
      <c r="S84" s="8" t="str">
        <f t="shared" si="1"/>
        <v>INSERT INTO STB_B_MENU_MNG(MENU_DIV_CD, MENU_CD ,UPR_MENU_CD, KOR_NM, URL_ADDR, PAGE_CL, MENU_PARAM,MENU_CSS, LAY_OUT, RTN_URL , SORT_NO , MENU_COMMENT, MENU_TARGET, IS_DEL_ABLE, REG_USER, USE_YN ) VALUES('MA','74010601','74010600','갤러리 등록','/ma/boardsample/gallery/regist.do','SUB','{}','','.mLayout:','/ma/boardsample/gallery/regist','10','{}','_self','','standard_ms','Y');</v>
      </c>
      <c r="T84" t="s">
        <v>967</v>
      </c>
    </row>
    <row r="85" spans="1:20" x14ac:dyDescent="0.4">
      <c r="A85" s="34"/>
      <c r="B85" s="34" t="s">
        <v>2</v>
      </c>
      <c r="C85" s="35" t="s">
        <v>875</v>
      </c>
      <c r="D85" s="35" t="s">
        <v>873</v>
      </c>
      <c r="E85" s="13" t="s">
        <v>459</v>
      </c>
      <c r="F85" s="13"/>
      <c r="G85" s="13"/>
      <c r="H85" s="13" t="s">
        <v>255</v>
      </c>
      <c r="I85" s="13">
        <v>4</v>
      </c>
      <c r="J85" s="13">
        <v>20</v>
      </c>
      <c r="K85" s="26" t="s">
        <v>492</v>
      </c>
      <c r="L85" s="13" t="s">
        <v>561</v>
      </c>
      <c r="M85" s="13"/>
      <c r="N85" s="13" t="s">
        <v>359</v>
      </c>
      <c r="O85" s="26" t="s">
        <v>530</v>
      </c>
      <c r="P85" s="13" t="s">
        <v>119</v>
      </c>
      <c r="Q85" s="13"/>
      <c r="R85" s="13" t="s">
        <v>144</v>
      </c>
      <c r="S85" s="8" t="str">
        <f t="shared" si="1"/>
        <v>INSERT INTO STB_B_MENU_MNG(MENU_DIV_CD, MENU_CD ,UPR_MENU_CD, KOR_NM, URL_ADDR, PAGE_CL, MENU_PARAM,MENU_CSS, LAY_OUT, RTN_URL , SORT_NO , MENU_COMMENT, MENU_TARGET, IS_DEL_ABLE, REG_USER, USE_YN ) VALUES('MA','74010602','74010600','갤러리 상세(삭제)','/ma/boardsample/gallery/view.do','SUB','{}','','.mLayout:','/ma/boardsample/gallery/view','20','{}','_self','','standard_ms','Y');</v>
      </c>
      <c r="T85" t="s">
        <v>968</v>
      </c>
    </row>
    <row r="86" spans="1:20" x14ac:dyDescent="0.4">
      <c r="A86" s="34"/>
      <c r="B86" s="34" t="s">
        <v>2</v>
      </c>
      <c r="C86" s="35" t="s">
        <v>876</v>
      </c>
      <c r="D86" s="35" t="s">
        <v>873</v>
      </c>
      <c r="E86" s="13" t="s">
        <v>460</v>
      </c>
      <c r="F86" s="13"/>
      <c r="G86" s="13"/>
      <c r="H86" s="13" t="s">
        <v>255</v>
      </c>
      <c r="I86" s="13">
        <v>4</v>
      </c>
      <c r="J86" s="13">
        <v>30</v>
      </c>
      <c r="K86" s="26" t="s">
        <v>493</v>
      </c>
      <c r="L86" s="13" t="s">
        <v>561</v>
      </c>
      <c r="M86" s="13"/>
      <c r="N86" s="13" t="s">
        <v>359</v>
      </c>
      <c r="O86" s="26" t="s">
        <v>531</v>
      </c>
      <c r="P86" s="13" t="s">
        <v>119</v>
      </c>
      <c r="Q86" s="13"/>
      <c r="R86" s="13" t="s">
        <v>144</v>
      </c>
      <c r="S86" s="8" t="str">
        <f t="shared" si="1"/>
        <v>INSERT INTO STB_B_MENU_MNG(MENU_DIV_CD, MENU_CD ,UPR_MENU_CD, KOR_NM, URL_ADDR, PAGE_CL, MENU_PARAM,MENU_CSS, LAY_OUT, RTN_URL , SORT_NO , MENU_COMMENT, MENU_TARGET, IS_DEL_ABLE, REG_USER, USE_YN ) VALUES('MA','74010603','74010600','갤러리 수정','/ma/boardsample/gallery/update.do','SUB','{}','','.mLayout:','/ma/boardsample/gallery/update','30','{}','_self','','standard_ms','Y');</v>
      </c>
      <c r="T86" t="s">
        <v>969</v>
      </c>
    </row>
    <row r="87" spans="1:20" x14ac:dyDescent="0.4">
      <c r="A87" s="34"/>
      <c r="B87" s="34" t="s">
        <v>2</v>
      </c>
      <c r="C87" s="35" t="s">
        <v>884</v>
      </c>
      <c r="D87" s="35" t="s">
        <v>852</v>
      </c>
      <c r="E87" s="13" t="s">
        <v>453</v>
      </c>
      <c r="F87" s="13"/>
      <c r="G87" s="13"/>
      <c r="H87" s="13" t="s">
        <v>254</v>
      </c>
      <c r="I87" s="13">
        <v>3</v>
      </c>
      <c r="J87" s="13">
        <v>70</v>
      </c>
      <c r="K87" s="26"/>
      <c r="L87" s="13" t="s">
        <v>561</v>
      </c>
      <c r="M87" s="13"/>
      <c r="N87" s="13"/>
      <c r="O87" s="26"/>
      <c r="P87" s="13"/>
      <c r="Q87" s="13"/>
      <c r="R87" s="13" t="s">
        <v>144</v>
      </c>
      <c r="S87" s="8" t="str">
        <f t="shared" si="1"/>
        <v>INSERT INTO STB_B_MENU_MNG(MENU_DIV_CD, MENU_CD ,UPR_MENU_CD, KOR_NM, URL_ADDR, PAGE_CL, MENU_PARAM,MENU_CSS, LAY_OUT, RTN_URL , SORT_NO , MENU_COMMENT, MENU_TARGET, IS_DEL_ABLE, REG_USER, USE_YN ) VALUES('MA','74010700','74010000','설문조사관리','','MAIN','{}','','','','70','{}','','','standard_ms','Y');</v>
      </c>
      <c r="T87" t="s">
        <v>970</v>
      </c>
    </row>
    <row r="88" spans="1:20" ht="52.2" x14ac:dyDescent="0.4">
      <c r="A88" s="34"/>
      <c r="B88" s="34" t="s">
        <v>2</v>
      </c>
      <c r="C88" s="35" t="s">
        <v>885</v>
      </c>
      <c r="D88" s="35" t="s">
        <v>884</v>
      </c>
      <c r="E88" s="13" t="s">
        <v>454</v>
      </c>
      <c r="F88" s="13"/>
      <c r="G88" s="25" t="s">
        <v>457</v>
      </c>
      <c r="H88" s="13" t="s">
        <v>254</v>
      </c>
      <c r="I88" s="13">
        <v>4</v>
      </c>
      <c r="J88" s="13">
        <v>10</v>
      </c>
      <c r="K88" s="13" t="s">
        <v>494</v>
      </c>
      <c r="L88" s="13" t="s">
        <v>561</v>
      </c>
      <c r="M88" s="13"/>
      <c r="N88" s="13" t="s">
        <v>359</v>
      </c>
      <c r="O88" s="13" t="s">
        <v>532</v>
      </c>
      <c r="P88" s="13" t="s">
        <v>119</v>
      </c>
      <c r="Q88" s="13"/>
      <c r="R88" s="13" t="s">
        <v>144</v>
      </c>
      <c r="S88" s="8" t="str">
        <f t="shared" si="1"/>
        <v>INSERT INTO STB_B_MENU_MNG(MENU_DIV_CD, MENU_CD ,UPR_MENU_CD, KOR_NM, URL_ADDR, PAGE_CL, MENU_PARAM,MENU_CSS, LAY_OUT, RTN_URL , SORT_NO , MENU_COMMENT, MENU_TARGET, IS_DEL_ABLE, REG_USER, USE_YN ) VALUES('MA','74010701','74010700','설문조사등록','/ma/baordsample/srvy/list.do','MAIN','{}','','.mLayout:','/ma/baordsample/srvy/list','10','{}','_self','','standard_ms','Y');</v>
      </c>
      <c r="T88" t="s">
        <v>971</v>
      </c>
    </row>
    <row r="89" spans="1:20" x14ac:dyDescent="0.4">
      <c r="A89" s="34"/>
      <c r="B89" s="34" t="s">
        <v>2</v>
      </c>
      <c r="C89" s="35" t="s">
        <v>886</v>
      </c>
      <c r="D89" s="35" t="s">
        <v>884</v>
      </c>
      <c r="E89" s="13" t="s">
        <v>455</v>
      </c>
      <c r="F89" s="13"/>
      <c r="G89" s="25"/>
      <c r="H89" s="13" t="s">
        <v>255</v>
      </c>
      <c r="I89" s="13">
        <v>4</v>
      </c>
      <c r="J89" s="13">
        <v>10</v>
      </c>
      <c r="K89" s="13" t="s">
        <v>495</v>
      </c>
      <c r="L89" s="13" t="s">
        <v>561</v>
      </c>
      <c r="M89" s="13"/>
      <c r="N89" s="13" t="s">
        <v>359</v>
      </c>
      <c r="O89" s="13" t="s">
        <v>533</v>
      </c>
      <c r="P89" s="13" t="s">
        <v>119</v>
      </c>
      <c r="Q89" s="13"/>
      <c r="R89" s="13" t="s">
        <v>144</v>
      </c>
      <c r="S89" s="8" t="str">
        <f t="shared" si="1"/>
        <v>INSERT INTO STB_B_MENU_MNG(MENU_DIV_CD, MENU_CD ,UPR_MENU_CD, KOR_NM, URL_ADDR, PAGE_CL, MENU_PARAM,MENU_CSS, LAY_OUT, RTN_URL , SORT_NO , MENU_COMMENT, MENU_TARGET, IS_DEL_ABLE, REG_USER, USE_YN ) VALUES('MA','74010702','74010700','설문조사개요등록','/ma/baordsample/srvy/regist.do','SUB','{}','','.mLayout:','/ma/baordsample/srvy/regist','10','{}','_self','','standard_ms','Y');</v>
      </c>
      <c r="T89" t="s">
        <v>972</v>
      </c>
    </row>
    <row r="90" spans="1:20" x14ac:dyDescent="0.4">
      <c r="A90" s="34"/>
      <c r="B90" s="34" t="s">
        <v>2</v>
      </c>
      <c r="C90" s="35" t="s">
        <v>887</v>
      </c>
      <c r="D90" s="35" t="s">
        <v>884</v>
      </c>
      <c r="E90" s="13" t="s">
        <v>456</v>
      </c>
      <c r="F90" s="13"/>
      <c r="G90" s="13"/>
      <c r="H90" s="13" t="s">
        <v>255</v>
      </c>
      <c r="I90" s="13">
        <v>4</v>
      </c>
      <c r="J90" s="13">
        <v>20</v>
      </c>
      <c r="K90" s="13" t="s">
        <v>496</v>
      </c>
      <c r="L90" s="13" t="s">
        <v>561</v>
      </c>
      <c r="M90" s="13"/>
      <c r="N90" s="13" t="s">
        <v>359</v>
      </c>
      <c r="O90" s="13" t="s">
        <v>534</v>
      </c>
      <c r="P90" s="13" t="s">
        <v>119</v>
      </c>
      <c r="Q90" s="13"/>
      <c r="R90" s="13" t="s">
        <v>144</v>
      </c>
      <c r="S90" s="8" t="str">
        <f t="shared" si="1"/>
        <v>INSERT INTO STB_B_MENU_MNG(MENU_DIV_CD, MENU_CD ,UPR_MENU_CD, KOR_NM, URL_ADDR, PAGE_CL, MENU_PARAM,MENU_CSS, LAY_OUT, RTN_URL , SORT_NO , MENU_COMMENT, MENU_TARGET, IS_DEL_ABLE, REG_USER, USE_YN ) VALUES('MA','74010703','74010700','설문조사문항등록','/ma/baordsample/srvy/itemregist.do','SUB','{}','','.mLayout:','/ma/baordsample/srvy/itemregist','20','{}','_self','','standard_ms','Y');</v>
      </c>
      <c r="T90" t="s">
        <v>973</v>
      </c>
    </row>
    <row r="91" spans="1:20" x14ac:dyDescent="0.4">
      <c r="A91" s="34"/>
      <c r="B91" s="34" t="s">
        <v>2</v>
      </c>
      <c r="C91" s="35" t="s">
        <v>888</v>
      </c>
      <c r="D91" s="35" t="s">
        <v>884</v>
      </c>
      <c r="E91" s="13" t="s">
        <v>461</v>
      </c>
      <c r="F91" s="13"/>
      <c r="G91" s="13"/>
      <c r="H91" s="13" t="s">
        <v>255</v>
      </c>
      <c r="I91" s="13">
        <v>4</v>
      </c>
      <c r="J91" s="13">
        <v>30</v>
      </c>
      <c r="K91" s="13" t="s">
        <v>497</v>
      </c>
      <c r="L91" s="13" t="s">
        <v>561</v>
      </c>
      <c r="M91" s="13"/>
      <c r="N91" s="13" t="s">
        <v>359</v>
      </c>
      <c r="O91" s="13" t="s">
        <v>535</v>
      </c>
      <c r="P91" s="13" t="s">
        <v>119</v>
      </c>
      <c r="Q91" s="13"/>
      <c r="R91" s="13" t="s">
        <v>144</v>
      </c>
      <c r="S91" s="8" t="str">
        <f t="shared" si="1"/>
        <v>INSERT INTO STB_B_MENU_MNG(MENU_DIV_CD, MENU_CD ,UPR_MENU_CD, KOR_NM, URL_ADDR, PAGE_CL, MENU_PARAM,MENU_CSS, LAY_OUT, RTN_URL , SORT_NO , MENU_COMMENT, MENU_TARGET, IS_DEL_ABLE, REG_USER, USE_YN ) VALUES('MA','74010704','74010700','설문조사문항수정','/ma/baordsample/srvy/itemrupdate.do','SUB','{}','','.mLayout:','/ma/baordsample/srvy/itemrupdate','30','{}','_self','','standard_ms','Y');</v>
      </c>
      <c r="T91" t="s">
        <v>974</v>
      </c>
    </row>
    <row r="92" spans="1:20" x14ac:dyDescent="0.4">
      <c r="A92" s="34"/>
      <c r="B92" s="34" t="s">
        <v>2</v>
      </c>
      <c r="C92" s="35" t="s">
        <v>877</v>
      </c>
      <c r="D92" s="35" t="s">
        <v>851</v>
      </c>
      <c r="E92" s="13" t="s">
        <v>451</v>
      </c>
      <c r="F92" s="13"/>
      <c r="G92" s="13" t="s">
        <v>452</v>
      </c>
      <c r="H92" s="13" t="s">
        <v>254</v>
      </c>
      <c r="I92" s="13">
        <v>2</v>
      </c>
      <c r="J92" s="13">
        <v>20</v>
      </c>
      <c r="K92" s="13"/>
      <c r="L92" s="13" t="s">
        <v>561</v>
      </c>
      <c r="M92" s="13"/>
      <c r="N92" s="13"/>
      <c r="O92" s="13"/>
      <c r="P92" s="13"/>
      <c r="Q92" s="13"/>
      <c r="R92" s="13" t="s">
        <v>144</v>
      </c>
      <c r="S92" s="8" t="str">
        <f t="shared" si="1"/>
        <v>INSERT INTO STB_B_MENU_MNG(MENU_DIV_CD, MENU_CD ,UPR_MENU_CD, KOR_NM, URL_ADDR, PAGE_CL, MENU_PARAM,MENU_CSS, LAY_OUT, RTN_URL , SORT_NO , MENU_COMMENT, MENU_TARGET, IS_DEL_ABLE, REG_USER, USE_YN ) VALUES('MA','74020000','74000000','게시판','','MAIN','{}','','','','20','{}','','','standard_ms','Y');</v>
      </c>
      <c r="T92" t="s">
        <v>975</v>
      </c>
    </row>
    <row r="93" spans="1:20" x14ac:dyDescent="0.4">
      <c r="A93" s="26"/>
      <c r="B93" s="26" t="s">
        <v>2</v>
      </c>
      <c r="C93" s="27" t="s">
        <v>878</v>
      </c>
      <c r="D93" s="27" t="s">
        <v>772</v>
      </c>
      <c r="E93" s="26" t="s">
        <v>97</v>
      </c>
      <c r="F93" s="26"/>
      <c r="G93" s="26" t="s">
        <v>106</v>
      </c>
      <c r="H93" s="26" t="s">
        <v>254</v>
      </c>
      <c r="I93" s="26">
        <v>1</v>
      </c>
      <c r="J93" s="26">
        <v>94</v>
      </c>
      <c r="K93" s="26"/>
      <c r="L93" s="13" t="s">
        <v>561</v>
      </c>
      <c r="M93" s="13" t="s">
        <v>569</v>
      </c>
      <c r="N93" s="13"/>
      <c r="O93" s="26"/>
      <c r="P93" s="13"/>
      <c r="Q93" s="13"/>
      <c r="R93" s="13" t="s">
        <v>144</v>
      </c>
      <c r="S93" s="8" t="str">
        <f t="shared" si="1"/>
        <v>INSERT INTO STB_B_MENU_MNG(MENU_DIV_CD, MENU_CD ,UPR_MENU_CD, KOR_NM, URL_ADDR, PAGE_CL, MENU_PARAM,MENU_CSS, LAY_OUT, RTN_URL , SORT_NO , MENU_COMMENT, MENU_TARGET, IS_DEL_ABLE, REG_USER, USE_YN ) VALUES('MA','75000000','00000000','통계','','MAIN','{}','i05','','','94','{}','','','standard_ms','Y');</v>
      </c>
      <c r="T93" t="s">
        <v>976</v>
      </c>
    </row>
    <row r="94" spans="1:20" x14ac:dyDescent="0.4">
      <c r="A94" s="26"/>
      <c r="B94" s="26" t="s">
        <v>2</v>
      </c>
      <c r="C94" s="27" t="s">
        <v>879</v>
      </c>
      <c r="D94" s="27" t="s">
        <v>878</v>
      </c>
      <c r="E94" s="26" t="s">
        <v>439</v>
      </c>
      <c r="F94" s="26"/>
      <c r="G94" s="26" t="s">
        <v>69</v>
      </c>
      <c r="H94" s="26" t="s">
        <v>254</v>
      </c>
      <c r="I94" s="26">
        <v>2</v>
      </c>
      <c r="J94" s="26">
        <v>10</v>
      </c>
      <c r="K94" s="26" t="s">
        <v>498</v>
      </c>
      <c r="L94" s="13" t="s">
        <v>561</v>
      </c>
      <c r="M94" s="13"/>
      <c r="N94" s="13" t="s">
        <v>359</v>
      </c>
      <c r="O94" s="26" t="s">
        <v>536</v>
      </c>
      <c r="P94" s="13" t="s">
        <v>119</v>
      </c>
      <c r="Q94" s="13"/>
      <c r="R94" s="13" t="s">
        <v>144</v>
      </c>
      <c r="S94" s="8" t="str">
        <f t="shared" si="1"/>
        <v>INSERT INTO STB_B_MENU_MNG(MENU_DIV_CD, MENU_CD ,UPR_MENU_CD, KOR_NM, URL_ADDR, PAGE_CL, MENU_PARAM,MENU_CSS, LAY_OUT, RTN_URL , SORT_NO , MENU_COMMENT, MENU_TARGET, IS_DEL_ABLE, REG_USER, USE_YN ) VALUES('MA','75010000','75000000','로그인통계','/ma/statistics/login.do','MAIN','{}','','.mLayout:','/ma/statistics/login','10','{}','_self','','standard_ms','Y');</v>
      </c>
      <c r="T94" t="s">
        <v>977</v>
      </c>
    </row>
    <row r="95" spans="1:20" x14ac:dyDescent="0.4">
      <c r="A95" s="26"/>
      <c r="B95" s="26" t="s">
        <v>2</v>
      </c>
      <c r="C95" s="27" t="s">
        <v>880</v>
      </c>
      <c r="D95" s="27" t="s">
        <v>878</v>
      </c>
      <c r="E95" s="26" t="s">
        <v>104</v>
      </c>
      <c r="F95" s="26"/>
      <c r="G95" s="26" t="s">
        <v>69</v>
      </c>
      <c r="H95" s="26" t="s">
        <v>254</v>
      </c>
      <c r="I95" s="26">
        <v>2</v>
      </c>
      <c r="J95" s="26">
        <v>20</v>
      </c>
      <c r="K95" s="26" t="s">
        <v>499</v>
      </c>
      <c r="L95" s="13" t="s">
        <v>561</v>
      </c>
      <c r="M95" s="13"/>
      <c r="N95" s="13" t="s">
        <v>359</v>
      </c>
      <c r="O95" s="26" t="s">
        <v>537</v>
      </c>
      <c r="P95" s="13" t="s">
        <v>119</v>
      </c>
      <c r="Q95" s="13"/>
      <c r="R95" s="13" t="s">
        <v>144</v>
      </c>
      <c r="S95" s="8" t="str">
        <f t="shared" si="1"/>
        <v>INSERT INTO STB_B_MENU_MNG(MENU_DIV_CD, MENU_CD ,UPR_MENU_CD, KOR_NM, URL_ADDR, PAGE_CL, MENU_PARAM,MENU_CSS, LAY_OUT, RTN_URL , SORT_NO , MENU_COMMENT, MENU_TARGET, IS_DEL_ABLE, REG_USER, USE_YN ) VALUES('MA','75020000','75000000','기간별통계','/ma/statistics/period.do','MAIN','{}','','.mLayout:','/ma/statistics/period','20','{}','_self','','standard_ms','Y');</v>
      </c>
      <c r="T95" t="s">
        <v>978</v>
      </c>
    </row>
    <row r="96" spans="1:20" x14ac:dyDescent="0.4">
      <c r="A96" s="26"/>
      <c r="B96" s="26" t="s">
        <v>2</v>
      </c>
      <c r="C96" s="27" t="s">
        <v>881</v>
      </c>
      <c r="D96" s="27" t="s">
        <v>878</v>
      </c>
      <c r="E96" s="26" t="s">
        <v>105</v>
      </c>
      <c r="F96" s="26"/>
      <c r="G96" s="26" t="s">
        <v>69</v>
      </c>
      <c r="H96" s="26" t="s">
        <v>254</v>
      </c>
      <c r="I96" s="26">
        <v>2</v>
      </c>
      <c r="J96" s="26">
        <v>30</v>
      </c>
      <c r="K96" s="26" t="s">
        <v>500</v>
      </c>
      <c r="L96" s="13" t="s">
        <v>561</v>
      </c>
      <c r="M96" s="13"/>
      <c r="N96" s="13" t="s">
        <v>359</v>
      </c>
      <c r="O96" s="26" t="s">
        <v>538</v>
      </c>
      <c r="P96" s="13" t="s">
        <v>119</v>
      </c>
      <c r="Q96" s="13"/>
      <c r="R96" s="13" t="s">
        <v>144</v>
      </c>
      <c r="S96" s="8" t="str">
        <f t="shared" si="1"/>
        <v>INSERT INTO STB_B_MENU_MNG(MENU_DIV_CD, MENU_CD ,UPR_MENU_CD, KOR_NM, URL_ADDR, PAGE_CL, MENU_PARAM,MENU_CSS, LAY_OUT, RTN_URL , SORT_NO , MENU_COMMENT, MENU_TARGET, IS_DEL_ABLE, REG_USER, USE_YN ) VALUES('MA','75030000','75000000','메뉴별통계','/ma/statistics/menu.do','MAIN','{}','','.mLayout:','/ma/statistics/menu','30','{}','_self','','standard_ms','Y');</v>
      </c>
      <c r="T96" t="s">
        <v>979</v>
      </c>
    </row>
    <row r="97" spans="1:20" x14ac:dyDescent="0.4">
      <c r="A97" s="34"/>
      <c r="B97" s="34" t="s">
        <v>2</v>
      </c>
      <c r="C97" s="35" t="s">
        <v>882</v>
      </c>
      <c r="D97" s="35" t="s">
        <v>772</v>
      </c>
      <c r="E97" s="13" t="s">
        <v>1</v>
      </c>
      <c r="F97" s="13"/>
      <c r="G97" s="13" t="s">
        <v>109</v>
      </c>
      <c r="H97" s="13" t="s">
        <v>254</v>
      </c>
      <c r="I97" s="13">
        <v>1</v>
      </c>
      <c r="J97" s="13">
        <v>95</v>
      </c>
      <c r="K97" s="13" t="s">
        <v>110</v>
      </c>
      <c r="L97" s="13" t="s">
        <v>561</v>
      </c>
      <c r="M97" s="13" t="s">
        <v>570</v>
      </c>
      <c r="N97" s="13"/>
      <c r="O97" s="13" t="s">
        <v>110</v>
      </c>
      <c r="P97" s="13" t="s">
        <v>397</v>
      </c>
      <c r="Q97" s="13"/>
      <c r="R97" s="13" t="s">
        <v>144</v>
      </c>
      <c r="S97" s="8" t="str">
        <f t="shared" si="1"/>
        <v>INSERT INTO STB_B_MENU_MNG(MENU_DIV_CD, MENU_CD ,UPR_MENU_CD, KOR_NM, URL_ADDR, PAGE_CL, MENU_PARAM,MENU_CSS, LAY_OUT, RTN_URL , SORT_NO , MENU_COMMENT, MENU_TARGET, IS_DEL_ABLE, REG_USER, USE_YN ) VALUES('MA','76000000','00000000','퍼블가이드','/guide/publish/index.html','MAIN','{}','i06','','/guide/publish/index.html','95','{}','_blank','','standard_ms','Y');</v>
      </c>
      <c r="T97" t="s">
        <v>980</v>
      </c>
    </row>
    <row r="98" spans="1:20" x14ac:dyDescent="0.4">
      <c r="A98" s="26"/>
      <c r="B98" s="26" t="s">
        <v>2</v>
      </c>
      <c r="C98" s="30" t="s">
        <v>883</v>
      </c>
      <c r="D98" s="11" t="s">
        <v>772</v>
      </c>
      <c r="E98" s="26" t="s">
        <v>108</v>
      </c>
      <c r="F98" s="26"/>
      <c r="G98" s="26" t="s">
        <v>106</v>
      </c>
      <c r="H98" s="26" t="s">
        <v>254</v>
      </c>
      <c r="I98" s="26">
        <v>1</v>
      </c>
      <c r="J98" s="26">
        <v>96</v>
      </c>
      <c r="K98" s="26"/>
      <c r="L98" s="13" t="s">
        <v>561</v>
      </c>
      <c r="M98" s="13" t="s">
        <v>570</v>
      </c>
      <c r="N98" s="6"/>
      <c r="O98" s="26"/>
      <c r="P98" s="13"/>
      <c r="Q98" s="13"/>
      <c r="R98" s="13" t="s">
        <v>144</v>
      </c>
      <c r="S98" s="8" t="str">
        <f t="shared" si="1"/>
        <v>INSERT INTO STB_B_MENU_MNG(MENU_DIV_CD, MENU_CD ,UPR_MENU_CD, KOR_NM, URL_ADDR, PAGE_CL, MENU_PARAM,MENU_CSS, LAY_OUT, RTN_URL , SORT_NO , MENU_COMMENT, MENU_TARGET, IS_DEL_ABLE, REG_USER, USE_YN ) VALUES('MA','77000000','00000000','개발가이드','','MAIN','{}','i06','','','96','{}','','','standard_ms','Y');</v>
      </c>
      <c r="T98" t="s">
        <v>981</v>
      </c>
    </row>
    <row r="99" spans="1:20" x14ac:dyDescent="0.4">
      <c r="A99" s="15"/>
      <c r="B99" s="15" t="s">
        <v>121</v>
      </c>
      <c r="C99" s="30" t="s">
        <v>773</v>
      </c>
      <c r="D99" s="11" t="s">
        <v>772</v>
      </c>
      <c r="E99" s="15" t="s">
        <v>122</v>
      </c>
      <c r="F99" s="15"/>
      <c r="G99" s="15"/>
      <c r="H99" s="13" t="s">
        <v>254</v>
      </c>
      <c r="I99" s="15">
        <v>1</v>
      </c>
      <c r="J99" s="15">
        <v>10</v>
      </c>
      <c r="K99" s="15"/>
      <c r="L99" s="13" t="s">
        <v>561</v>
      </c>
      <c r="M99" s="13"/>
      <c r="N99" s="13"/>
      <c r="O99" s="15"/>
      <c r="P99" s="15"/>
      <c r="Q99" s="15"/>
      <c r="R99" s="13" t="s">
        <v>144</v>
      </c>
      <c r="S99" s="8" t="str">
        <f t="shared" si="1"/>
        <v>INSERT INTO STB_B_MENU_MNG(MENU_DIV_CD, MENU_CD ,UPR_MENU_CD, KOR_NM, URL_ADDR, PAGE_CL, MENU_PARAM,MENU_CSS, LAY_OUT, RTN_URL , SORT_NO , MENU_COMMENT, MENU_TARGET, IS_DEL_ABLE, REG_USER, USE_YN ) VALUES('FT','01000000','00000000','안내','','MAIN','{}','','','','10','{}','','','standard_ms','Y');</v>
      </c>
      <c r="T99" t="s">
        <v>982</v>
      </c>
    </row>
    <row r="100" spans="1:20" x14ac:dyDescent="0.4">
      <c r="A100" s="15"/>
      <c r="B100" s="15" t="s">
        <v>121</v>
      </c>
      <c r="C100" s="30" t="s">
        <v>774</v>
      </c>
      <c r="D100" s="30" t="s">
        <v>773</v>
      </c>
      <c r="E100" s="15" t="s">
        <v>124</v>
      </c>
      <c r="F100" s="15"/>
      <c r="G100" s="15"/>
      <c r="H100" s="13" t="s">
        <v>254</v>
      </c>
      <c r="I100" s="15">
        <v>2</v>
      </c>
      <c r="J100" s="15">
        <v>10</v>
      </c>
      <c r="K100" s="15" t="s">
        <v>142</v>
      </c>
      <c r="L100" s="13" t="s">
        <v>561</v>
      </c>
      <c r="M100" s="13"/>
      <c r="N100" s="13" t="s">
        <v>360</v>
      </c>
      <c r="O100" s="15" t="s">
        <v>398</v>
      </c>
      <c r="P100" s="15" t="s">
        <v>119</v>
      </c>
      <c r="Q100" s="15"/>
      <c r="R100" s="13" t="s">
        <v>144</v>
      </c>
      <c r="S100" s="8" t="str">
        <f t="shared" si="1"/>
        <v>INSERT INTO STB_B_MENU_MNG(MENU_DIV_CD, MENU_CD ,UPR_MENU_CD, KOR_NM, URL_ADDR, PAGE_CL, MENU_PARAM,MENU_CSS, LAY_OUT, RTN_URL , SORT_NO , MENU_COMMENT, MENU_TARGET, IS_DEL_ABLE, REG_USER, USE_YN ) VALUES('FT','01010000','01000000','연혁','/ft/intro/history.do','MAIN','{}','','.fLayout:','/ft/intro/history','10','{}','_self','','standard_ms','Y');</v>
      </c>
      <c r="T100" t="s">
        <v>983</v>
      </c>
    </row>
    <row r="101" spans="1:20" x14ac:dyDescent="0.4">
      <c r="A101" s="15"/>
      <c r="B101" s="15" t="s">
        <v>121</v>
      </c>
      <c r="C101" s="30" t="s">
        <v>775</v>
      </c>
      <c r="D101" s="30" t="s">
        <v>773</v>
      </c>
      <c r="E101" s="15" t="s">
        <v>123</v>
      </c>
      <c r="F101" s="15"/>
      <c r="G101" s="15"/>
      <c r="H101" s="13" t="s">
        <v>254</v>
      </c>
      <c r="I101" s="15">
        <v>2</v>
      </c>
      <c r="J101" s="15">
        <v>20</v>
      </c>
      <c r="K101" s="15" t="s">
        <v>143</v>
      </c>
      <c r="L101" s="13" t="s">
        <v>561</v>
      </c>
      <c r="M101" s="13"/>
      <c r="N101" s="13" t="s">
        <v>360</v>
      </c>
      <c r="O101" s="15" t="s">
        <v>399</v>
      </c>
      <c r="P101" s="15" t="s">
        <v>119</v>
      </c>
      <c r="Q101" s="15"/>
      <c r="R101" s="13" t="s">
        <v>144</v>
      </c>
      <c r="S101" s="8" t="str">
        <f t="shared" si="1"/>
        <v>INSERT INTO STB_B_MENU_MNG(MENU_DIV_CD, MENU_CD ,UPR_MENU_CD, KOR_NM, URL_ADDR, PAGE_CL, MENU_PARAM,MENU_CSS, LAY_OUT, RTN_URL , SORT_NO , MENU_COMMENT, MENU_TARGET, IS_DEL_ABLE, REG_USER, USE_YN ) VALUES('FT','01020000','01000000','오시는길','/ft/intro/directionWay.do','MAIN','{}','','.fLayout:','/ft/intro/directionWay','20','{}','_self','','standard_ms','Y');</v>
      </c>
      <c r="T101" t="s">
        <v>984</v>
      </c>
    </row>
    <row r="102" spans="1:20" x14ac:dyDescent="0.4">
      <c r="A102" s="13"/>
      <c r="B102" s="13" t="s">
        <v>121</v>
      </c>
      <c r="C102" s="30" t="s">
        <v>776</v>
      </c>
      <c r="D102" s="11" t="s">
        <v>772</v>
      </c>
      <c r="E102" s="13" t="s">
        <v>52</v>
      </c>
      <c r="F102" s="13"/>
      <c r="G102" s="13" t="s">
        <v>106</v>
      </c>
      <c r="H102" s="13" t="s">
        <v>254</v>
      </c>
      <c r="I102" s="13">
        <v>1</v>
      </c>
      <c r="J102" s="13">
        <v>20</v>
      </c>
      <c r="K102" s="13"/>
      <c r="L102" s="13" t="s">
        <v>561</v>
      </c>
      <c r="M102" s="13"/>
      <c r="N102" s="13"/>
      <c r="O102" s="13"/>
      <c r="P102" s="13" t="s">
        <v>119</v>
      </c>
      <c r="Q102" s="13" t="s">
        <v>120</v>
      </c>
      <c r="R102" s="13" t="s">
        <v>144</v>
      </c>
      <c r="S102" s="8" t="str">
        <f t="shared" si="1"/>
        <v>INSERT INTO STB_B_MENU_MNG(MENU_DIV_CD, MENU_CD ,UPR_MENU_CD, KOR_NM, URL_ADDR, PAGE_CL, MENU_PARAM,MENU_CSS, LAY_OUT, RTN_URL , SORT_NO , MENU_COMMENT, MENU_TARGET, IS_DEL_ABLE, REG_USER, USE_YN ) VALUES('FT','02000000','00000000','게시판관리','','MAIN','{}','','','','20','{}','_self','N','standard_ms','Y');</v>
      </c>
      <c r="T102" t="s">
        <v>985</v>
      </c>
    </row>
    <row r="103" spans="1:20" x14ac:dyDescent="0.4">
      <c r="A103" s="13"/>
      <c r="B103" s="13" t="s">
        <v>121</v>
      </c>
      <c r="C103" s="30" t="s">
        <v>777</v>
      </c>
      <c r="D103" s="30" t="s">
        <v>776</v>
      </c>
      <c r="E103" s="13" t="s">
        <v>76</v>
      </c>
      <c r="F103" s="13"/>
      <c r="G103" s="13" t="s">
        <v>107</v>
      </c>
      <c r="H103" s="13" t="s">
        <v>254</v>
      </c>
      <c r="I103" s="13">
        <v>2</v>
      </c>
      <c r="J103" s="13">
        <v>10</v>
      </c>
      <c r="K103" s="13" t="s">
        <v>125</v>
      </c>
      <c r="L103" s="13" t="s">
        <v>561</v>
      </c>
      <c r="M103" s="13"/>
      <c r="N103" s="13" t="s">
        <v>360</v>
      </c>
      <c r="O103" s="13" t="s">
        <v>400</v>
      </c>
      <c r="P103" s="13" t="s">
        <v>119</v>
      </c>
      <c r="Q103" s="13" t="s">
        <v>120</v>
      </c>
      <c r="R103" s="13" t="s">
        <v>144</v>
      </c>
      <c r="S103" s="8" t="str">
        <f t="shared" si="1"/>
        <v>INSERT INTO STB_B_MENU_MNG(MENU_DIV_CD, MENU_CD ,UPR_MENU_CD, KOR_NM, URL_ADDR, PAGE_CL, MENU_PARAM,MENU_CSS, LAY_OUT, RTN_URL , SORT_NO , MENU_COMMENT, MENU_TARGET, IS_DEL_ABLE, REG_USER, USE_YN ) VALUES('FT','02010000','02000000','알림마당','/ft/board/basic/list.do','MAIN','{}','','.fLayout:','/ft/board/basic/list','10','{}','_self','N','standard_ms','Y');</v>
      </c>
      <c r="T103" t="s">
        <v>986</v>
      </c>
    </row>
    <row r="104" spans="1:20" x14ac:dyDescent="0.4">
      <c r="A104" s="13"/>
      <c r="B104" s="13" t="s">
        <v>121</v>
      </c>
      <c r="C104" s="30" t="s">
        <v>778</v>
      </c>
      <c r="D104" s="30" t="s">
        <v>777</v>
      </c>
      <c r="E104" s="13" t="s">
        <v>71</v>
      </c>
      <c r="F104" s="13"/>
      <c r="G104" s="13"/>
      <c r="H104" s="13" t="s">
        <v>255</v>
      </c>
      <c r="I104" s="13">
        <v>3</v>
      </c>
      <c r="J104" s="13">
        <v>10</v>
      </c>
      <c r="K104" s="13" t="s">
        <v>126</v>
      </c>
      <c r="L104" s="13" t="s">
        <v>561</v>
      </c>
      <c r="M104" s="13"/>
      <c r="N104" s="13" t="s">
        <v>360</v>
      </c>
      <c r="O104" s="13" t="s">
        <v>401</v>
      </c>
      <c r="P104" s="13" t="s">
        <v>119</v>
      </c>
      <c r="Q104" s="13" t="s">
        <v>120</v>
      </c>
      <c r="R104" s="13" t="s">
        <v>144</v>
      </c>
      <c r="S104" s="8" t="str">
        <f t="shared" si="1"/>
        <v>INSERT INTO STB_B_MENU_MNG(MENU_DIV_CD, MENU_CD ,UPR_MENU_CD, KOR_NM, URL_ADDR, PAGE_CL, MENU_PARAM,MENU_CSS, LAY_OUT, RTN_URL , SORT_NO , MENU_COMMENT, MENU_TARGET, IS_DEL_ABLE, REG_USER, USE_YN ) VALUES('FT','02010100','02010000','상세','/ft/board/basic/view.do','SUB','{}','','.fLayout:','/ft/board/basic/view','10','{}','_self','N','standard_ms','Y');</v>
      </c>
      <c r="T104" t="s">
        <v>987</v>
      </c>
    </row>
    <row r="105" spans="1:20" x14ac:dyDescent="0.4">
      <c r="A105" s="13"/>
      <c r="B105" s="13" t="s">
        <v>121</v>
      </c>
      <c r="C105" s="30" t="s">
        <v>779</v>
      </c>
      <c r="D105" s="30" t="s">
        <v>777</v>
      </c>
      <c r="E105" s="13" t="s">
        <v>95</v>
      </c>
      <c r="F105" s="13"/>
      <c r="G105" s="13"/>
      <c r="H105" s="13" t="s">
        <v>255</v>
      </c>
      <c r="I105" s="13">
        <v>3</v>
      </c>
      <c r="J105" s="13">
        <v>20</v>
      </c>
      <c r="K105" s="13" t="s">
        <v>127</v>
      </c>
      <c r="L105" s="13" t="s">
        <v>561</v>
      </c>
      <c r="M105" s="13"/>
      <c r="N105" s="13" t="s">
        <v>360</v>
      </c>
      <c r="O105" s="13" t="s">
        <v>402</v>
      </c>
      <c r="P105" s="13" t="s">
        <v>119</v>
      </c>
      <c r="Q105" s="13" t="s">
        <v>120</v>
      </c>
      <c r="R105" s="13" t="s">
        <v>144</v>
      </c>
      <c r="S105" s="8" t="str">
        <f t="shared" si="1"/>
        <v>INSERT INTO STB_B_MENU_MNG(MENU_DIV_CD, MENU_CD ,UPR_MENU_CD, KOR_NM, URL_ADDR, PAGE_CL, MENU_PARAM,MENU_CSS, LAY_OUT, RTN_URL , SORT_NO , MENU_COMMENT, MENU_TARGET, IS_DEL_ABLE, REG_USER, USE_YN ) VALUES('FT','02010200','02010000','수정','/ft/board/basic/update.do','SUB','{}','','.fLayout:','/ft/board/basic/update','20','{}','_self','N','standard_ms','Y');</v>
      </c>
      <c r="T105" t="s">
        <v>988</v>
      </c>
    </row>
    <row r="106" spans="1:20" x14ac:dyDescent="0.4">
      <c r="A106" s="13"/>
      <c r="B106" s="13" t="s">
        <v>121</v>
      </c>
      <c r="C106" s="30" t="s">
        <v>780</v>
      </c>
      <c r="D106" s="30" t="s">
        <v>776</v>
      </c>
      <c r="E106" s="13" t="s">
        <v>77</v>
      </c>
      <c r="F106" s="13"/>
      <c r="G106" s="13" t="s">
        <v>107</v>
      </c>
      <c r="H106" s="13" t="s">
        <v>254</v>
      </c>
      <c r="I106" s="13">
        <v>2</v>
      </c>
      <c r="J106" s="13">
        <v>20</v>
      </c>
      <c r="K106" s="13" t="s">
        <v>128</v>
      </c>
      <c r="L106" s="13" t="s">
        <v>561</v>
      </c>
      <c r="M106" s="13"/>
      <c r="N106" s="13" t="s">
        <v>360</v>
      </c>
      <c r="O106" s="13" t="s">
        <v>403</v>
      </c>
      <c r="P106" s="13" t="s">
        <v>119</v>
      </c>
      <c r="Q106" s="13" t="s">
        <v>120</v>
      </c>
      <c r="R106" s="13" t="s">
        <v>144</v>
      </c>
      <c r="S106" s="8" t="str">
        <f t="shared" si="1"/>
        <v>INSERT INTO STB_B_MENU_MNG(MENU_DIV_CD, MENU_CD ,UPR_MENU_CD, KOR_NM, URL_ADDR, PAGE_CL, MENU_PARAM,MENU_CSS, LAY_OUT, RTN_URL , SORT_NO , MENU_COMMENT, MENU_TARGET, IS_DEL_ABLE, REG_USER, USE_YN ) VALUES('FT','02020000','02000000','공지사항','/ft/board/notice/list.do','MAIN','{}','','.fLayout:','/ft/board/notice/list','20','{}','_self','N','standard_ms','Y');</v>
      </c>
      <c r="T106" t="s">
        <v>989</v>
      </c>
    </row>
    <row r="107" spans="1:20" x14ac:dyDescent="0.4">
      <c r="A107" s="13"/>
      <c r="B107" s="13" t="s">
        <v>121</v>
      </c>
      <c r="C107" s="30" t="s">
        <v>781</v>
      </c>
      <c r="D107" s="30" t="s">
        <v>780</v>
      </c>
      <c r="E107" s="13" t="s">
        <v>71</v>
      </c>
      <c r="F107" s="13"/>
      <c r="G107" s="13"/>
      <c r="H107" s="13" t="s">
        <v>255</v>
      </c>
      <c r="I107" s="13">
        <v>3</v>
      </c>
      <c r="J107" s="13">
        <v>10</v>
      </c>
      <c r="K107" s="13" t="s">
        <v>129</v>
      </c>
      <c r="L107" s="13" t="s">
        <v>561</v>
      </c>
      <c r="M107" s="13"/>
      <c r="N107" s="13" t="s">
        <v>360</v>
      </c>
      <c r="O107" s="13" t="s">
        <v>404</v>
      </c>
      <c r="P107" s="13" t="s">
        <v>119</v>
      </c>
      <c r="Q107" s="13" t="s">
        <v>120</v>
      </c>
      <c r="R107" s="13" t="s">
        <v>144</v>
      </c>
      <c r="S107" s="8" t="str">
        <f t="shared" si="1"/>
        <v>INSERT INTO STB_B_MENU_MNG(MENU_DIV_CD, MENU_CD ,UPR_MENU_CD, KOR_NM, URL_ADDR, PAGE_CL, MENU_PARAM,MENU_CSS, LAY_OUT, RTN_URL , SORT_NO , MENU_COMMENT, MENU_TARGET, IS_DEL_ABLE, REG_USER, USE_YN ) VALUES('FT','02020100','02020000','상세','/ft/board/notice/view.do','SUB','{}','','.fLayout:','/ft/board/notice/view','10','{}','_self','N','standard_ms','Y');</v>
      </c>
      <c r="T107" t="s">
        <v>990</v>
      </c>
    </row>
    <row r="108" spans="1:20" x14ac:dyDescent="0.4">
      <c r="A108" s="13"/>
      <c r="B108" s="13" t="s">
        <v>121</v>
      </c>
      <c r="C108" s="30" t="s">
        <v>782</v>
      </c>
      <c r="D108" s="30" t="s">
        <v>780</v>
      </c>
      <c r="E108" s="13" t="s">
        <v>95</v>
      </c>
      <c r="F108" s="13"/>
      <c r="G108" s="13"/>
      <c r="H108" s="13" t="s">
        <v>255</v>
      </c>
      <c r="I108" s="13">
        <v>3</v>
      </c>
      <c r="J108" s="13">
        <v>20</v>
      </c>
      <c r="K108" s="13" t="s">
        <v>130</v>
      </c>
      <c r="L108" s="13" t="s">
        <v>561</v>
      </c>
      <c r="M108" s="13"/>
      <c r="N108" s="13" t="s">
        <v>360</v>
      </c>
      <c r="O108" s="13" t="s">
        <v>405</v>
      </c>
      <c r="P108" s="13" t="s">
        <v>119</v>
      </c>
      <c r="Q108" s="13" t="s">
        <v>120</v>
      </c>
      <c r="R108" s="13" t="s">
        <v>144</v>
      </c>
      <c r="S108" s="8" t="str">
        <f t="shared" si="1"/>
        <v>INSERT INTO STB_B_MENU_MNG(MENU_DIV_CD, MENU_CD ,UPR_MENU_CD, KOR_NM, URL_ADDR, PAGE_CL, MENU_PARAM,MENU_CSS, LAY_OUT, RTN_URL , SORT_NO , MENU_COMMENT, MENU_TARGET, IS_DEL_ABLE, REG_USER, USE_YN ) VALUES('FT','02020200','02020000','수정','/ft/board/notice/update.do','SUB','{}','','.fLayout:','/ft/board/notice/update','20','{}','_self','N','standard_ms','Y');</v>
      </c>
      <c r="T108" t="s">
        <v>991</v>
      </c>
    </row>
    <row r="109" spans="1:20" x14ac:dyDescent="0.4">
      <c r="A109" s="13"/>
      <c r="B109" s="13" t="s">
        <v>121</v>
      </c>
      <c r="C109" s="30" t="s">
        <v>783</v>
      </c>
      <c r="D109" s="30" t="s">
        <v>776</v>
      </c>
      <c r="E109" s="13" t="s">
        <v>74</v>
      </c>
      <c r="F109" s="13"/>
      <c r="G109" s="13" t="s">
        <v>107</v>
      </c>
      <c r="H109" s="13" t="s">
        <v>254</v>
      </c>
      <c r="I109" s="13">
        <v>2</v>
      </c>
      <c r="J109" s="13">
        <v>30</v>
      </c>
      <c r="K109" s="13" t="s">
        <v>131</v>
      </c>
      <c r="L109" s="13" t="s">
        <v>561</v>
      </c>
      <c r="M109" s="13"/>
      <c r="N109" s="13" t="s">
        <v>360</v>
      </c>
      <c r="O109" s="13" t="s">
        <v>406</v>
      </c>
      <c r="P109" s="13" t="s">
        <v>119</v>
      </c>
      <c r="Q109" s="13" t="s">
        <v>120</v>
      </c>
      <c r="R109" s="13" t="s">
        <v>144</v>
      </c>
      <c r="S109" s="8" t="str">
        <f t="shared" si="1"/>
        <v>INSERT INTO STB_B_MENU_MNG(MENU_DIV_CD, MENU_CD ,UPR_MENU_CD, KOR_NM, URL_ADDR, PAGE_CL, MENU_PARAM,MENU_CSS, LAY_OUT, RTN_URL , SORT_NO , MENU_COMMENT, MENU_TARGET, IS_DEL_ABLE, REG_USER, USE_YN ) VALUES('FT','02030000','02000000','FAQ','/ft/board/faq/list.do','MAIN','{}','','.fLayout:','/ft/board/faq/list','30','{}','_self','N','standard_ms','Y');</v>
      </c>
      <c r="T109" t="s">
        <v>992</v>
      </c>
    </row>
    <row r="110" spans="1:20" x14ac:dyDescent="0.4">
      <c r="A110" s="13"/>
      <c r="B110" s="13" t="s">
        <v>121</v>
      </c>
      <c r="C110" s="30" t="s">
        <v>784</v>
      </c>
      <c r="D110" s="30" t="s">
        <v>783</v>
      </c>
      <c r="E110" s="13" t="s">
        <v>71</v>
      </c>
      <c r="F110" s="13"/>
      <c r="G110" s="13"/>
      <c r="H110" s="13" t="s">
        <v>255</v>
      </c>
      <c r="I110" s="13">
        <v>3</v>
      </c>
      <c r="J110" s="13">
        <v>10</v>
      </c>
      <c r="K110" s="13" t="s">
        <v>132</v>
      </c>
      <c r="L110" s="13" t="s">
        <v>561</v>
      </c>
      <c r="M110" s="13"/>
      <c r="N110" s="13" t="s">
        <v>360</v>
      </c>
      <c r="O110" s="13" t="s">
        <v>407</v>
      </c>
      <c r="P110" s="13" t="s">
        <v>119</v>
      </c>
      <c r="Q110" s="13" t="s">
        <v>120</v>
      </c>
      <c r="R110" s="13" t="s">
        <v>144</v>
      </c>
      <c r="S110" s="8" t="str">
        <f t="shared" si="1"/>
        <v>INSERT INTO STB_B_MENU_MNG(MENU_DIV_CD, MENU_CD ,UPR_MENU_CD, KOR_NM, URL_ADDR, PAGE_CL, MENU_PARAM,MENU_CSS, LAY_OUT, RTN_URL , SORT_NO , MENU_COMMENT, MENU_TARGET, IS_DEL_ABLE, REG_USER, USE_YN ) VALUES('FT','02030100','02030000','상세','/ft/board/faq/view.do','SUB','{}','','.fLayout:','/ft/board/faq/view','10','{}','_self','N','standard_ms','Y');</v>
      </c>
      <c r="T110" t="s">
        <v>993</v>
      </c>
    </row>
    <row r="111" spans="1:20" x14ac:dyDescent="0.4">
      <c r="A111" s="13"/>
      <c r="B111" s="13" t="s">
        <v>121</v>
      </c>
      <c r="C111" s="30" t="s">
        <v>785</v>
      </c>
      <c r="D111" s="30" t="s">
        <v>783</v>
      </c>
      <c r="E111" s="13" t="s">
        <v>95</v>
      </c>
      <c r="F111" s="13"/>
      <c r="G111" s="13"/>
      <c r="H111" s="13" t="s">
        <v>255</v>
      </c>
      <c r="I111" s="13">
        <v>3</v>
      </c>
      <c r="J111" s="13">
        <v>20</v>
      </c>
      <c r="K111" s="13" t="s">
        <v>133</v>
      </c>
      <c r="L111" s="13" t="s">
        <v>561</v>
      </c>
      <c r="M111" s="13"/>
      <c r="N111" s="13" t="s">
        <v>360</v>
      </c>
      <c r="O111" s="13" t="s">
        <v>408</v>
      </c>
      <c r="P111" s="13" t="s">
        <v>119</v>
      </c>
      <c r="Q111" s="13" t="s">
        <v>120</v>
      </c>
      <c r="R111" s="13" t="s">
        <v>144</v>
      </c>
      <c r="S111" s="8" t="str">
        <f t="shared" si="1"/>
        <v>INSERT INTO STB_B_MENU_MNG(MENU_DIV_CD, MENU_CD ,UPR_MENU_CD, KOR_NM, URL_ADDR, PAGE_CL, MENU_PARAM,MENU_CSS, LAY_OUT, RTN_URL , SORT_NO , MENU_COMMENT, MENU_TARGET, IS_DEL_ABLE, REG_USER, USE_YN ) VALUES('FT','02030200','02030000','수정','/ft/board/faq/update.do','SUB','{}','','.fLayout:','/ft/board/faq/update','20','{}','_self','N','standard_ms','Y');</v>
      </c>
      <c r="T111" t="s">
        <v>994</v>
      </c>
    </row>
    <row r="112" spans="1:20" x14ac:dyDescent="0.4">
      <c r="A112" s="13"/>
      <c r="B112" s="13" t="s">
        <v>121</v>
      </c>
      <c r="C112" s="30" t="s">
        <v>786</v>
      </c>
      <c r="D112" s="30" t="s">
        <v>776</v>
      </c>
      <c r="E112" s="13" t="s">
        <v>75</v>
      </c>
      <c r="F112" s="13"/>
      <c r="G112" s="13" t="s">
        <v>107</v>
      </c>
      <c r="H112" s="13" t="s">
        <v>254</v>
      </c>
      <c r="I112" s="13">
        <v>2</v>
      </c>
      <c r="J112" s="13">
        <v>40</v>
      </c>
      <c r="K112" s="13" t="s">
        <v>134</v>
      </c>
      <c r="L112" s="13" t="s">
        <v>561</v>
      </c>
      <c r="M112" s="13"/>
      <c r="N112" s="13" t="s">
        <v>360</v>
      </c>
      <c r="O112" s="13" t="s">
        <v>409</v>
      </c>
      <c r="P112" s="13" t="s">
        <v>119</v>
      </c>
      <c r="Q112" s="13" t="s">
        <v>120</v>
      </c>
      <c r="R112" s="13" t="s">
        <v>144</v>
      </c>
      <c r="S112" s="8" t="str">
        <f t="shared" si="1"/>
        <v>INSERT INTO STB_B_MENU_MNG(MENU_DIV_CD, MENU_CD ,UPR_MENU_CD, KOR_NM, URL_ADDR, PAGE_CL, MENU_PARAM,MENU_CSS, LAY_OUT, RTN_URL , SORT_NO , MENU_COMMENT, MENU_TARGET, IS_DEL_ABLE, REG_USER, USE_YN ) VALUES('FT','02040000','02000000','QNA','/ft/board/qna/list.do','MAIN','{}','','.fLayout:','/ft/board/qna/list','40','{}','_self','N','standard_ms','Y');</v>
      </c>
      <c r="T112" t="s">
        <v>995</v>
      </c>
    </row>
    <row r="113" spans="1:20" x14ac:dyDescent="0.4">
      <c r="A113" s="13"/>
      <c r="B113" s="13" t="s">
        <v>121</v>
      </c>
      <c r="C113" s="30" t="s">
        <v>787</v>
      </c>
      <c r="D113" s="30" t="s">
        <v>786</v>
      </c>
      <c r="E113" s="13" t="s">
        <v>71</v>
      </c>
      <c r="F113" s="13"/>
      <c r="G113" s="13"/>
      <c r="H113" s="13" t="s">
        <v>255</v>
      </c>
      <c r="I113" s="13">
        <v>3</v>
      </c>
      <c r="J113" s="13">
        <v>10</v>
      </c>
      <c r="K113" s="13" t="s">
        <v>135</v>
      </c>
      <c r="L113" s="13" t="s">
        <v>561</v>
      </c>
      <c r="M113" s="13"/>
      <c r="N113" s="13" t="s">
        <v>360</v>
      </c>
      <c r="O113" s="13" t="s">
        <v>410</v>
      </c>
      <c r="P113" s="13" t="s">
        <v>119</v>
      </c>
      <c r="Q113" s="13" t="s">
        <v>120</v>
      </c>
      <c r="R113" s="13" t="s">
        <v>144</v>
      </c>
      <c r="S113" s="8" t="str">
        <f t="shared" si="1"/>
        <v>INSERT INTO STB_B_MENU_MNG(MENU_DIV_CD, MENU_CD ,UPR_MENU_CD, KOR_NM, URL_ADDR, PAGE_CL, MENU_PARAM,MENU_CSS, LAY_OUT, RTN_URL , SORT_NO , MENU_COMMENT, MENU_TARGET, IS_DEL_ABLE, REG_USER, USE_YN ) VALUES('FT','02040100','02040000','상세','/ft/board/qna/view.do','SUB','{}','','.fLayout:','/ft/board/qna/view','10','{}','_self','N','standard_ms','Y');</v>
      </c>
      <c r="T113" t="s">
        <v>996</v>
      </c>
    </row>
    <row r="114" spans="1:20" x14ac:dyDescent="0.4">
      <c r="A114" s="13"/>
      <c r="B114" s="13" t="s">
        <v>121</v>
      </c>
      <c r="C114" s="30" t="s">
        <v>788</v>
      </c>
      <c r="D114" s="30" t="s">
        <v>786</v>
      </c>
      <c r="E114" s="13" t="s">
        <v>95</v>
      </c>
      <c r="F114" s="13"/>
      <c r="G114" s="13"/>
      <c r="H114" s="13" t="s">
        <v>255</v>
      </c>
      <c r="I114" s="13">
        <v>3</v>
      </c>
      <c r="J114" s="13">
        <v>20</v>
      </c>
      <c r="K114" s="13" t="s">
        <v>136</v>
      </c>
      <c r="L114" s="13" t="s">
        <v>561</v>
      </c>
      <c r="M114" s="13"/>
      <c r="N114" s="13" t="s">
        <v>360</v>
      </c>
      <c r="O114" s="13" t="s">
        <v>411</v>
      </c>
      <c r="P114" s="13" t="s">
        <v>119</v>
      </c>
      <c r="Q114" s="13" t="s">
        <v>120</v>
      </c>
      <c r="R114" s="13" t="s">
        <v>144</v>
      </c>
      <c r="S114" s="8" t="str">
        <f t="shared" si="1"/>
        <v>INSERT INTO STB_B_MENU_MNG(MENU_DIV_CD, MENU_CD ,UPR_MENU_CD, KOR_NM, URL_ADDR, PAGE_CL, MENU_PARAM,MENU_CSS, LAY_OUT, RTN_URL , SORT_NO , MENU_COMMENT, MENU_TARGET, IS_DEL_ABLE, REG_USER, USE_YN ) VALUES('FT','02040200','02040000','수정','/ft/board/qna/update.do','SUB','{}','','.fLayout:','/ft/board/qna/update','20','{}','_self','N','standard_ms','Y');</v>
      </c>
      <c r="T114" t="s">
        <v>997</v>
      </c>
    </row>
    <row r="115" spans="1:20" x14ac:dyDescent="0.4">
      <c r="A115" s="13"/>
      <c r="B115" s="13" t="s">
        <v>121</v>
      </c>
      <c r="C115" s="30" t="s">
        <v>789</v>
      </c>
      <c r="D115" s="30" t="s">
        <v>776</v>
      </c>
      <c r="E115" s="13" t="s">
        <v>78</v>
      </c>
      <c r="F115" s="13"/>
      <c r="G115" s="13" t="s">
        <v>107</v>
      </c>
      <c r="H115" s="13" t="s">
        <v>254</v>
      </c>
      <c r="I115" s="13">
        <v>2</v>
      </c>
      <c r="J115" s="13">
        <v>50</v>
      </c>
      <c r="K115" s="13" t="s">
        <v>117</v>
      </c>
      <c r="L115" s="13" t="s">
        <v>561</v>
      </c>
      <c r="M115" s="13"/>
      <c r="N115" s="13" t="s">
        <v>360</v>
      </c>
      <c r="O115" s="13" t="s">
        <v>396</v>
      </c>
      <c r="P115" s="13" t="s">
        <v>119</v>
      </c>
      <c r="Q115" s="13" t="s">
        <v>120</v>
      </c>
      <c r="R115" s="13" t="s">
        <v>144</v>
      </c>
      <c r="S115" s="8" t="str">
        <f t="shared" si="1"/>
        <v>INSERT INTO STB_B_MENU_MNG(MENU_DIV_CD, MENU_CD ,UPR_MENU_CD, KOR_NM, URL_ADDR, PAGE_CL, MENU_PARAM,MENU_CSS, LAY_OUT, RTN_URL , SORT_NO , MENU_COMMENT, MENU_TARGET, IS_DEL_ABLE, REG_USER, USE_YN ) VALUES('FT','02050000','02000000','비밀_게시판','/ma/board/secret/list.do','MAIN','{}','','.fLayout:','/ma/board/secret/list','50','{}','_self','N','standard_ms','Y');</v>
      </c>
      <c r="T115" t="s">
        <v>998</v>
      </c>
    </row>
    <row r="116" spans="1:20" x14ac:dyDescent="0.4">
      <c r="A116" s="13"/>
      <c r="B116" s="13" t="s">
        <v>121</v>
      </c>
      <c r="C116" s="30" t="s">
        <v>790</v>
      </c>
      <c r="D116" s="30" t="s">
        <v>789</v>
      </c>
      <c r="E116" s="13" t="s">
        <v>71</v>
      </c>
      <c r="F116" s="13"/>
      <c r="G116" s="13"/>
      <c r="H116" s="13" t="s">
        <v>255</v>
      </c>
      <c r="I116" s="13">
        <v>3</v>
      </c>
      <c r="J116" s="13">
        <v>10</v>
      </c>
      <c r="K116" s="13" t="s">
        <v>137</v>
      </c>
      <c r="L116" s="13" t="s">
        <v>561</v>
      </c>
      <c r="M116" s="13"/>
      <c r="N116" s="13" t="s">
        <v>360</v>
      </c>
      <c r="O116" s="13" t="s">
        <v>412</v>
      </c>
      <c r="P116" s="13" t="s">
        <v>119</v>
      </c>
      <c r="Q116" s="13" t="s">
        <v>120</v>
      </c>
      <c r="R116" s="13" t="s">
        <v>144</v>
      </c>
      <c r="S116" s="8" t="str">
        <f t="shared" si="1"/>
        <v>INSERT INTO STB_B_MENU_MNG(MENU_DIV_CD, MENU_CD ,UPR_MENU_CD, KOR_NM, URL_ADDR, PAGE_CL, MENU_PARAM,MENU_CSS, LAY_OUT, RTN_URL , SORT_NO , MENU_COMMENT, MENU_TARGET, IS_DEL_ABLE, REG_USER, USE_YN ) VALUES('FT','02050100','02050000','상세','/ft/board/secret/view.do','SUB','{}','','.fLayout:','/ft/board/secret/view','10','{}','_self','N','standard_ms','Y');</v>
      </c>
      <c r="T116" t="s">
        <v>999</v>
      </c>
    </row>
    <row r="117" spans="1:20" x14ac:dyDescent="0.4">
      <c r="A117" s="13"/>
      <c r="B117" s="13" t="s">
        <v>121</v>
      </c>
      <c r="C117" s="30" t="s">
        <v>791</v>
      </c>
      <c r="D117" s="30" t="s">
        <v>789</v>
      </c>
      <c r="E117" s="13" t="s">
        <v>95</v>
      </c>
      <c r="F117" s="13"/>
      <c r="G117" s="13"/>
      <c r="H117" s="13" t="s">
        <v>255</v>
      </c>
      <c r="I117" s="13">
        <v>3</v>
      </c>
      <c r="J117" s="13">
        <v>20</v>
      </c>
      <c r="K117" s="13" t="s">
        <v>138</v>
      </c>
      <c r="L117" s="13" t="s">
        <v>561</v>
      </c>
      <c r="M117" s="13"/>
      <c r="N117" s="13" t="s">
        <v>360</v>
      </c>
      <c r="O117" s="13" t="s">
        <v>413</v>
      </c>
      <c r="P117" s="13" t="s">
        <v>119</v>
      </c>
      <c r="Q117" s="13" t="s">
        <v>120</v>
      </c>
      <c r="R117" s="13" t="s">
        <v>144</v>
      </c>
      <c r="S117" s="8" t="str">
        <f t="shared" si="1"/>
        <v>INSERT INTO STB_B_MENU_MNG(MENU_DIV_CD, MENU_CD ,UPR_MENU_CD, KOR_NM, URL_ADDR, PAGE_CL, MENU_PARAM,MENU_CSS, LAY_OUT, RTN_URL , SORT_NO , MENU_COMMENT, MENU_TARGET, IS_DEL_ABLE, REG_USER, USE_YN ) VALUES('FT','02050200','02050000','수정','/ft/board/secret/update.do','SUB','{}','','.fLayout:','/ft/board/secret/update','20','{}','_self','N','standard_ms','Y');</v>
      </c>
      <c r="T117" t="s">
        <v>1000</v>
      </c>
    </row>
    <row r="118" spans="1:20" x14ac:dyDescent="0.4">
      <c r="A118" s="13"/>
      <c r="B118" s="13" t="s">
        <v>121</v>
      </c>
      <c r="C118" s="30" t="s">
        <v>792</v>
      </c>
      <c r="D118" s="30" t="s">
        <v>776</v>
      </c>
      <c r="E118" s="13" t="s">
        <v>85</v>
      </c>
      <c r="F118" s="13"/>
      <c r="G118" s="13" t="s">
        <v>107</v>
      </c>
      <c r="H118" s="13" t="s">
        <v>254</v>
      </c>
      <c r="I118" s="13">
        <v>2</v>
      </c>
      <c r="J118" s="13">
        <v>60</v>
      </c>
      <c r="K118" s="13" t="s">
        <v>139</v>
      </c>
      <c r="L118" s="13" t="s">
        <v>561</v>
      </c>
      <c r="M118" s="13"/>
      <c r="N118" s="13" t="s">
        <v>360</v>
      </c>
      <c r="O118" s="13" t="s">
        <v>414</v>
      </c>
      <c r="P118" s="13" t="s">
        <v>119</v>
      </c>
      <c r="Q118" s="13" t="s">
        <v>120</v>
      </c>
      <c r="R118" s="13" t="s">
        <v>144</v>
      </c>
      <c r="S118" s="8" t="str">
        <f t="shared" si="1"/>
        <v>INSERT INTO STB_B_MENU_MNG(MENU_DIV_CD, MENU_CD ,UPR_MENU_CD, KOR_NM, URL_ADDR, PAGE_CL, MENU_PARAM,MENU_CSS, LAY_OUT, RTN_URL , SORT_NO , MENU_COMMENT, MENU_TARGET, IS_DEL_ABLE, REG_USER, USE_YN ) VALUES('FT','02060000','02000000','갤러리','/ft/board/gallery/list.do','MAIN','{}','','.fLayout:','/ft/board/gallery/list','60','{}','_self','N','standard_ms','Y');</v>
      </c>
      <c r="T118" t="s">
        <v>1001</v>
      </c>
    </row>
    <row r="119" spans="1:20" x14ac:dyDescent="0.4">
      <c r="A119" s="13"/>
      <c r="B119" s="13" t="s">
        <v>121</v>
      </c>
      <c r="C119" s="30" t="s">
        <v>793</v>
      </c>
      <c r="D119" s="30" t="s">
        <v>792</v>
      </c>
      <c r="E119" s="13" t="s">
        <v>71</v>
      </c>
      <c r="F119" s="13"/>
      <c r="G119" s="13"/>
      <c r="H119" s="13" t="s">
        <v>255</v>
      </c>
      <c r="I119" s="13">
        <v>3</v>
      </c>
      <c r="J119" s="13">
        <v>10</v>
      </c>
      <c r="K119" s="13" t="s">
        <v>140</v>
      </c>
      <c r="L119" s="13" t="s">
        <v>561</v>
      </c>
      <c r="M119" s="13"/>
      <c r="N119" s="13" t="s">
        <v>360</v>
      </c>
      <c r="O119" s="13" t="s">
        <v>415</v>
      </c>
      <c r="P119" s="13" t="s">
        <v>119</v>
      </c>
      <c r="Q119" s="13" t="s">
        <v>120</v>
      </c>
      <c r="R119" s="13" t="s">
        <v>144</v>
      </c>
      <c r="S119" s="8" t="str">
        <f t="shared" si="1"/>
        <v>INSERT INTO STB_B_MENU_MNG(MENU_DIV_CD, MENU_CD ,UPR_MENU_CD, KOR_NM, URL_ADDR, PAGE_CL, MENU_PARAM,MENU_CSS, LAY_OUT, RTN_URL , SORT_NO , MENU_COMMENT, MENU_TARGET, IS_DEL_ABLE, REG_USER, USE_YN ) VALUES('FT','02060100','02060000','상세','/ft/board/gallery/view.do','SUB','{}','','.fLayout:','/ft/board/gallery/view','10','{}','_self','N','standard_ms','Y');</v>
      </c>
      <c r="T119" t="s">
        <v>1002</v>
      </c>
    </row>
    <row r="120" spans="1:20" x14ac:dyDescent="0.4">
      <c r="A120" s="13"/>
      <c r="B120" s="13" t="s">
        <v>121</v>
      </c>
      <c r="C120" s="30" t="s">
        <v>794</v>
      </c>
      <c r="D120" s="30" t="s">
        <v>792</v>
      </c>
      <c r="E120" s="13" t="s">
        <v>95</v>
      </c>
      <c r="F120" s="13"/>
      <c r="G120" s="13"/>
      <c r="H120" s="13" t="s">
        <v>255</v>
      </c>
      <c r="I120" s="13">
        <v>3</v>
      </c>
      <c r="J120" s="13">
        <v>20</v>
      </c>
      <c r="K120" s="13" t="s">
        <v>141</v>
      </c>
      <c r="L120" s="13" t="s">
        <v>561</v>
      </c>
      <c r="M120" s="13"/>
      <c r="N120" s="13" t="s">
        <v>360</v>
      </c>
      <c r="O120" s="13" t="s">
        <v>416</v>
      </c>
      <c r="P120" s="13" t="s">
        <v>119</v>
      </c>
      <c r="Q120" s="13" t="s">
        <v>120</v>
      </c>
      <c r="R120" s="13" t="s">
        <v>144</v>
      </c>
      <c r="S120" s="8" t="str">
        <f t="shared" si="1"/>
        <v>INSERT INTO STB_B_MENU_MNG(MENU_DIV_CD, MENU_CD ,UPR_MENU_CD, KOR_NM, URL_ADDR, PAGE_CL, MENU_PARAM,MENU_CSS, LAY_OUT, RTN_URL , SORT_NO , MENU_COMMENT, MENU_TARGET, IS_DEL_ABLE, REG_USER, USE_YN ) VALUES('FT','02060200','02060000','수정','/ft/board/gallery/update.do','SUB','{}','','.fLayout:','/ft/board/gallery/update','20','{}','_self','N','standard_ms','Y');</v>
      </c>
      <c r="T120" t="s">
        <v>1003</v>
      </c>
    </row>
  </sheetData>
  <mergeCells count="2">
    <mergeCell ref="S1:S3"/>
    <mergeCell ref="T1:T3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64AC-4A33-4161-B10D-98EE1BE71AB8}">
  <dimension ref="A1:P120"/>
  <sheetViews>
    <sheetView workbookViewId="0">
      <pane ySplit="3" topLeftCell="A4" activePane="bottomLeft" state="frozen"/>
      <selection pane="bottomLeft" activeCell="K12" sqref="K12"/>
    </sheetView>
  </sheetViews>
  <sheetFormatPr defaultRowHeight="17.399999999999999" x14ac:dyDescent="0.4"/>
  <cols>
    <col min="1" max="1" width="12.3984375" bestFit="1" customWidth="1"/>
    <col min="2" max="3" width="11" bestFit="1" customWidth="1"/>
    <col min="7" max="7" width="12.3984375" bestFit="1" customWidth="1"/>
    <col min="8" max="8" width="12.3984375" customWidth="1"/>
    <col min="9" max="9" width="9.69921875" customWidth="1"/>
    <col min="10" max="12" width="12.3984375" customWidth="1"/>
    <col min="14" max="14" width="12.69921875" customWidth="1"/>
    <col min="15" max="15" width="10.3984375" customWidth="1"/>
  </cols>
  <sheetData>
    <row r="1" spans="1:16" x14ac:dyDescent="0.4">
      <c r="A1" s="3" t="s">
        <v>43</v>
      </c>
      <c r="B1" s="16" t="s">
        <v>145</v>
      </c>
      <c r="C1" s="16" t="s">
        <v>45</v>
      </c>
      <c r="D1" s="3" t="s">
        <v>155</v>
      </c>
      <c r="E1" s="3" t="s">
        <v>155</v>
      </c>
      <c r="F1" s="3" t="s">
        <v>155</v>
      </c>
      <c r="G1" s="3" t="s">
        <v>155</v>
      </c>
      <c r="H1" s="3" t="s">
        <v>155</v>
      </c>
      <c r="I1" s="3"/>
      <c r="J1" s="3"/>
      <c r="K1" s="3"/>
      <c r="L1" s="3"/>
      <c r="M1" s="3" t="s">
        <v>155</v>
      </c>
      <c r="N1" s="3" t="s">
        <v>155</v>
      </c>
      <c r="O1" s="31" t="s">
        <v>219</v>
      </c>
      <c r="P1" s="32" t="s">
        <v>218</v>
      </c>
    </row>
    <row r="2" spans="1:16" x14ac:dyDescent="0.4">
      <c r="A2" s="1" t="s">
        <v>5</v>
      </c>
      <c r="B2" s="1" t="s">
        <v>146</v>
      </c>
      <c r="C2" s="5" t="s">
        <v>182</v>
      </c>
      <c r="D2" s="1" t="s">
        <v>237</v>
      </c>
      <c r="E2" s="1" t="s">
        <v>238</v>
      </c>
      <c r="F2" s="1" t="s">
        <v>239</v>
      </c>
      <c r="G2" s="1" t="s">
        <v>240</v>
      </c>
      <c r="H2" s="1" t="s">
        <v>241</v>
      </c>
      <c r="I2" s="1" t="s">
        <v>236</v>
      </c>
      <c r="J2" s="1" t="s">
        <v>242</v>
      </c>
      <c r="K2" s="1" t="s">
        <v>243</v>
      </c>
      <c r="L2" s="1" t="s">
        <v>244</v>
      </c>
      <c r="M2" s="1" t="s">
        <v>11</v>
      </c>
      <c r="N2" s="1" t="s">
        <v>156</v>
      </c>
      <c r="O2" s="31"/>
      <c r="P2" s="33"/>
    </row>
    <row r="3" spans="1:16" x14ac:dyDescent="0.4">
      <c r="A3" s="2" t="s">
        <v>6</v>
      </c>
      <c r="B3" s="2" t="s">
        <v>147</v>
      </c>
      <c r="C3" s="9" t="s">
        <v>1125</v>
      </c>
      <c r="D3" s="2" t="s">
        <v>183</v>
      </c>
      <c r="E3" s="2" t="s">
        <v>184</v>
      </c>
      <c r="F3" s="2" t="s">
        <v>185</v>
      </c>
      <c r="G3" s="2" t="s">
        <v>186</v>
      </c>
      <c r="H3" s="2" t="s">
        <v>235</v>
      </c>
      <c r="I3" s="2" t="s">
        <v>245</v>
      </c>
      <c r="J3" s="2" t="s">
        <v>246</v>
      </c>
      <c r="K3" s="2" t="s">
        <v>247</v>
      </c>
      <c r="L3" s="2" t="s">
        <v>248</v>
      </c>
      <c r="M3" s="2" t="s">
        <v>12</v>
      </c>
      <c r="N3" s="2" t="s">
        <v>22</v>
      </c>
      <c r="O3" s="31"/>
      <c r="P3" s="33"/>
    </row>
    <row r="4" spans="1:16" x14ac:dyDescent="0.4">
      <c r="B4" s="7" t="s">
        <v>157</v>
      </c>
      <c r="C4" s="11" t="s">
        <v>772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144</v>
      </c>
      <c r="J4" t="s">
        <v>144</v>
      </c>
      <c r="K4" t="s">
        <v>144</v>
      </c>
      <c r="L4" t="s">
        <v>144</v>
      </c>
      <c r="M4" t="s">
        <v>180</v>
      </c>
      <c r="N4" t="s">
        <v>181</v>
      </c>
      <c r="O4" s="23" t="str">
        <f>"INSERT INTO STB_M_MENU_AUTH_MNG (AUTH_ID, MENU_CD, READ_YN, WRITE_YN, UPDATE_YN, DELETE_YN, POPUP_OPEN_YN, POPUP_READ_YN, POPUP_WRITE_YN, POPUP_UPDATE_YN, POPUP_DELETE_YN, USE_YN, IS_DEL_ABLE , REG_USER ) VALUES('"&amp;B4&amp;"','"&amp;C4&amp;"','"&amp;D4&amp;"','"&amp;E4&amp;"','"&amp;F4&amp;"','"&amp;G4&amp;"','"&amp;H4&amp;"','"&amp;I4&amp;"','"&amp;J4&amp;"','"&amp;K4&amp;"','"&amp;L4&amp;"','"&amp;M4&amp;"','"&amp;N4&amp;"','standard_ms');"</f>
        <v>INSERT INTO STB_M_MENU_AUTH_MNG (AUTH_ID, MENU_CD, READ_YN, WRITE_YN, UPDATE_YN, DELETE_YN, POPUP_OPEN_YN, POPUP_READ_YN, POPUP_WRITE_YN, POPUP_UPDATE_YN, POPUP_DELETE_YN, USE_YN, IS_DEL_ABLE , REG_USER ) VALUES('AllAdmin','00000000','Y','Y','Y','Y','Y','Y','Y','Y','Y','Y','N','standard_ms');</v>
      </c>
      <c r="P4" t="s">
        <v>1004</v>
      </c>
    </row>
    <row r="5" spans="1:16" x14ac:dyDescent="0.4">
      <c r="B5" s="7" t="s">
        <v>157</v>
      </c>
      <c r="C5" s="27" t="s">
        <v>796</v>
      </c>
      <c r="D5" t="s">
        <v>144</v>
      </c>
      <c r="E5" t="s">
        <v>144</v>
      </c>
      <c r="F5" t="s">
        <v>144</v>
      </c>
      <c r="G5" t="s">
        <v>144</v>
      </c>
      <c r="H5" t="s">
        <v>144</v>
      </c>
      <c r="I5" t="s">
        <v>144</v>
      </c>
      <c r="J5" t="s">
        <v>144</v>
      </c>
      <c r="K5" t="s">
        <v>144</v>
      </c>
      <c r="L5" t="s">
        <v>144</v>
      </c>
      <c r="M5" t="s">
        <v>144</v>
      </c>
      <c r="N5" t="s">
        <v>120</v>
      </c>
      <c r="O5" s="23" t="str">
        <f t="shared" ref="O5:P68" si="0">"INSERT INTO STB_M_MENU_AUTH_MNG (AUTH_ID, MENU_CD, READ_YN, WRITE_YN, UPDATE_YN, DELETE_YN, POPUP_OPEN_YN, POPUP_READ_YN, POPUP_WRITE_YN, POPUP_UPDATE_YN, POPUP_DELETE_YN, USE_YN, IS_DEL_ABLE , REG_USER ) VALUES('"&amp;B5&amp;"','"&amp;C5&amp;"','"&amp;D5&amp;"','"&amp;E5&amp;"','"&amp;F5&amp;"','"&amp;G5&amp;"','"&amp;H5&amp;"','"&amp;I5&amp;"','"&amp;J5&amp;"','"&amp;K5&amp;"','"&amp;L5&amp;"','"&amp;M5&amp;"','"&amp;N5&amp;"','standard_ms');"</f>
        <v>INSERT INTO STB_M_MENU_AUTH_MNG (AUTH_ID, MENU_CD, READ_YN, WRITE_YN, UPDATE_YN, DELETE_YN, POPUP_OPEN_YN, POPUP_READ_YN, POPUP_WRITE_YN, POPUP_UPDATE_YN, POPUP_DELETE_YN, USE_YN, IS_DEL_ABLE , REG_USER ) VALUES('AllAdmin','71000000','Y','Y','Y','Y','Y','Y','Y','Y','Y','Y','N','standard_ms');</v>
      </c>
      <c r="P5" t="s">
        <v>1005</v>
      </c>
    </row>
    <row r="6" spans="1:16" x14ac:dyDescent="0.4">
      <c r="B6" s="7" t="s">
        <v>157</v>
      </c>
      <c r="C6" s="27" t="s">
        <v>797</v>
      </c>
      <c r="D6" t="s">
        <v>144</v>
      </c>
      <c r="E6" t="s">
        <v>144</v>
      </c>
      <c r="F6" t="s">
        <v>144</v>
      </c>
      <c r="G6" t="s">
        <v>144</v>
      </c>
      <c r="H6" t="s">
        <v>144</v>
      </c>
      <c r="I6" t="s">
        <v>144</v>
      </c>
      <c r="J6" t="s">
        <v>144</v>
      </c>
      <c r="K6" t="s">
        <v>144</v>
      </c>
      <c r="L6" t="s">
        <v>144</v>
      </c>
      <c r="M6" t="s">
        <v>144</v>
      </c>
      <c r="N6" t="s">
        <v>120</v>
      </c>
      <c r="O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VALUES('AllAdmin','71010000','Y','Y','Y','Y','Y','Y','Y','Y','Y','Y','N','standard_ms');</v>
      </c>
      <c r="P6" t="s">
        <v>1006</v>
      </c>
    </row>
    <row r="7" spans="1:16" x14ac:dyDescent="0.4">
      <c r="B7" s="7" t="s">
        <v>157</v>
      </c>
      <c r="C7" s="27" t="s">
        <v>798</v>
      </c>
      <c r="D7" t="s">
        <v>144</v>
      </c>
      <c r="E7" t="s">
        <v>144</v>
      </c>
      <c r="F7" t="s">
        <v>144</v>
      </c>
      <c r="G7" t="s">
        <v>144</v>
      </c>
      <c r="H7" t="s">
        <v>144</v>
      </c>
      <c r="I7" t="s">
        <v>144</v>
      </c>
      <c r="J7" t="s">
        <v>144</v>
      </c>
      <c r="K7" t="s">
        <v>144</v>
      </c>
      <c r="L7" t="s">
        <v>144</v>
      </c>
      <c r="M7" t="s">
        <v>144</v>
      </c>
      <c r="N7" t="s">
        <v>120</v>
      </c>
      <c r="O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VALUES('AllAdmin','71010100','Y','Y','Y','Y','Y','Y','Y','Y','Y','Y','N','standard_ms');</v>
      </c>
      <c r="P7" t="s">
        <v>1007</v>
      </c>
    </row>
    <row r="8" spans="1:16" x14ac:dyDescent="0.4">
      <c r="B8" s="7" t="s">
        <v>157</v>
      </c>
      <c r="C8" s="27" t="s">
        <v>799</v>
      </c>
      <c r="D8" t="s">
        <v>144</v>
      </c>
      <c r="E8" t="s">
        <v>144</v>
      </c>
      <c r="F8" t="s">
        <v>144</v>
      </c>
      <c r="G8" t="s">
        <v>144</v>
      </c>
      <c r="H8" t="s">
        <v>144</v>
      </c>
      <c r="I8" t="s">
        <v>144</v>
      </c>
      <c r="J8" t="s">
        <v>144</v>
      </c>
      <c r="K8" t="s">
        <v>144</v>
      </c>
      <c r="L8" t="s">
        <v>144</v>
      </c>
      <c r="M8" t="s">
        <v>144</v>
      </c>
      <c r="N8" t="s">
        <v>120</v>
      </c>
      <c r="O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VALUES('AllAdmin','71020000','Y','Y','Y','Y','Y','Y','Y','Y','Y','Y','N','standard_ms');</v>
      </c>
      <c r="P8" t="s">
        <v>1008</v>
      </c>
    </row>
    <row r="9" spans="1:16" x14ac:dyDescent="0.4">
      <c r="B9" s="7" t="s">
        <v>157</v>
      </c>
      <c r="C9" s="27" t="s">
        <v>800</v>
      </c>
      <c r="D9" t="s">
        <v>144</v>
      </c>
      <c r="E9" t="s">
        <v>144</v>
      </c>
      <c r="F9" t="s">
        <v>144</v>
      </c>
      <c r="G9" t="s">
        <v>144</v>
      </c>
      <c r="H9" t="s">
        <v>144</v>
      </c>
      <c r="I9" t="s">
        <v>144</v>
      </c>
      <c r="J9" t="s">
        <v>144</v>
      </c>
      <c r="K9" t="s">
        <v>144</v>
      </c>
      <c r="L9" t="s">
        <v>144</v>
      </c>
      <c r="M9" t="s">
        <v>144</v>
      </c>
      <c r="N9" t="s">
        <v>120</v>
      </c>
      <c r="O9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VALUES('AllAdmin','71020100','Y','Y','Y','Y','Y','Y','Y','Y','Y','Y','N','standard_ms');</v>
      </c>
      <c r="P9" t="s">
        <v>1009</v>
      </c>
    </row>
    <row r="10" spans="1:16" x14ac:dyDescent="0.4">
      <c r="B10" s="7" t="s">
        <v>157</v>
      </c>
      <c r="C10" s="27" t="s">
        <v>801</v>
      </c>
      <c r="D10" t="s">
        <v>144</v>
      </c>
      <c r="E10" t="s">
        <v>144</v>
      </c>
      <c r="F10" t="s">
        <v>144</v>
      </c>
      <c r="G10" t="s">
        <v>144</v>
      </c>
      <c r="H10" t="s">
        <v>144</v>
      </c>
      <c r="I10" t="s">
        <v>144</v>
      </c>
      <c r="J10" t="s">
        <v>144</v>
      </c>
      <c r="K10" t="s">
        <v>144</v>
      </c>
      <c r="L10" t="s">
        <v>144</v>
      </c>
      <c r="M10" t="s">
        <v>144</v>
      </c>
      <c r="N10" t="s">
        <v>120</v>
      </c>
      <c r="O10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VALUES('AllAdmin','71020200','Y','Y','Y','Y','Y','Y','Y','Y','Y','Y','N','standard_ms');</v>
      </c>
      <c r="P10" t="s">
        <v>1010</v>
      </c>
    </row>
    <row r="11" spans="1:16" x14ac:dyDescent="0.4">
      <c r="B11" s="7" t="s">
        <v>157</v>
      </c>
      <c r="C11" s="27" t="s">
        <v>802</v>
      </c>
      <c r="D11" t="s">
        <v>144</v>
      </c>
      <c r="E11" t="s">
        <v>144</v>
      </c>
      <c r="F11" t="s">
        <v>144</v>
      </c>
      <c r="G11" t="s">
        <v>144</v>
      </c>
      <c r="H11" t="s">
        <v>144</v>
      </c>
      <c r="I11" t="s">
        <v>144</v>
      </c>
      <c r="J11" t="s">
        <v>144</v>
      </c>
      <c r="K11" t="s">
        <v>144</v>
      </c>
      <c r="L11" t="s">
        <v>144</v>
      </c>
      <c r="M11" t="s">
        <v>144</v>
      </c>
      <c r="N11" t="s">
        <v>120</v>
      </c>
      <c r="O11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VALUES('AllAdmin','71020300','Y','Y','Y','Y','Y','Y','Y','Y','Y','Y','N','standard_ms');</v>
      </c>
      <c r="P11" t="s">
        <v>1011</v>
      </c>
    </row>
    <row r="12" spans="1:16" x14ac:dyDescent="0.4">
      <c r="B12" s="7" t="s">
        <v>157</v>
      </c>
      <c r="C12" s="27" t="s">
        <v>803</v>
      </c>
      <c r="D12" t="s">
        <v>144</v>
      </c>
      <c r="E12" t="s">
        <v>144</v>
      </c>
      <c r="F12" t="s">
        <v>144</v>
      </c>
      <c r="G12" t="s">
        <v>144</v>
      </c>
      <c r="H12" t="s">
        <v>144</v>
      </c>
      <c r="I12" t="s">
        <v>144</v>
      </c>
      <c r="J12" t="s">
        <v>144</v>
      </c>
      <c r="K12" t="s">
        <v>144</v>
      </c>
      <c r="L12" t="s">
        <v>144</v>
      </c>
      <c r="M12" t="s">
        <v>144</v>
      </c>
      <c r="N12" t="s">
        <v>120</v>
      </c>
      <c r="O12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VALUES('AllAdmin','71030000','Y','Y','Y','Y','Y','Y','Y','Y','Y','Y','N','standard_ms');</v>
      </c>
      <c r="P12" t="s">
        <v>1012</v>
      </c>
    </row>
    <row r="13" spans="1:16" x14ac:dyDescent="0.4">
      <c r="B13" s="7" t="s">
        <v>157</v>
      </c>
      <c r="C13" s="27" t="s">
        <v>804</v>
      </c>
      <c r="D13" t="s">
        <v>144</v>
      </c>
      <c r="E13" t="s">
        <v>144</v>
      </c>
      <c r="F13" t="s">
        <v>144</v>
      </c>
      <c r="G13" t="s">
        <v>144</v>
      </c>
      <c r="H13" t="s">
        <v>144</v>
      </c>
      <c r="I13" t="s">
        <v>144</v>
      </c>
      <c r="J13" t="s">
        <v>144</v>
      </c>
      <c r="K13" t="s">
        <v>144</v>
      </c>
      <c r="L13" t="s">
        <v>144</v>
      </c>
      <c r="M13" t="s">
        <v>144</v>
      </c>
      <c r="N13" t="s">
        <v>120</v>
      </c>
      <c r="O13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VALUES('AllAdmin','71030100','Y','Y','Y','Y','Y','Y','Y','Y','Y','Y','N','standard_ms');</v>
      </c>
      <c r="P13" t="s">
        <v>1013</v>
      </c>
    </row>
    <row r="14" spans="1:16" x14ac:dyDescent="0.4">
      <c r="B14" s="7" t="s">
        <v>157</v>
      </c>
      <c r="C14" s="27" t="s">
        <v>805</v>
      </c>
      <c r="D14" t="s">
        <v>144</v>
      </c>
      <c r="E14" t="s">
        <v>144</v>
      </c>
      <c r="F14" t="s">
        <v>144</v>
      </c>
      <c r="G14" t="s">
        <v>144</v>
      </c>
      <c r="H14" t="s">
        <v>144</v>
      </c>
      <c r="I14" t="s">
        <v>144</v>
      </c>
      <c r="J14" t="s">
        <v>144</v>
      </c>
      <c r="K14" t="s">
        <v>144</v>
      </c>
      <c r="L14" t="s">
        <v>144</v>
      </c>
      <c r="M14" t="s">
        <v>144</v>
      </c>
      <c r="N14" t="s">
        <v>120</v>
      </c>
      <c r="O14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VALUES('AllAdmin','71030200','Y','Y','Y','Y','Y','Y','Y','Y','Y','Y','N','standard_ms');</v>
      </c>
      <c r="P14" t="s">
        <v>1014</v>
      </c>
    </row>
    <row r="15" spans="1:16" x14ac:dyDescent="0.4">
      <c r="B15" s="7" t="s">
        <v>157</v>
      </c>
      <c r="C15" s="27" t="s">
        <v>806</v>
      </c>
      <c r="D15" t="s">
        <v>144</v>
      </c>
      <c r="E15" t="s">
        <v>144</v>
      </c>
      <c r="F15" t="s">
        <v>144</v>
      </c>
      <c r="G15" t="s">
        <v>144</v>
      </c>
      <c r="H15" t="s">
        <v>144</v>
      </c>
      <c r="I15" t="s">
        <v>144</v>
      </c>
      <c r="J15" t="s">
        <v>144</v>
      </c>
      <c r="K15" t="s">
        <v>144</v>
      </c>
      <c r="L15" t="s">
        <v>144</v>
      </c>
      <c r="M15" t="s">
        <v>144</v>
      </c>
      <c r="N15" t="s">
        <v>120</v>
      </c>
      <c r="O15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VALUES('AllAdmin','71030300','Y','Y','Y','Y','Y','Y','Y','Y','Y','Y','N','standard_ms');</v>
      </c>
      <c r="P15" t="s">
        <v>1015</v>
      </c>
    </row>
    <row r="16" spans="1:16" x14ac:dyDescent="0.4">
      <c r="B16" s="7" t="s">
        <v>157</v>
      </c>
      <c r="C16" s="27" t="s">
        <v>1120</v>
      </c>
      <c r="D16" t="s">
        <v>144</v>
      </c>
      <c r="E16" t="s">
        <v>144</v>
      </c>
      <c r="F16" t="s">
        <v>144</v>
      </c>
      <c r="G16" t="s">
        <v>144</v>
      </c>
      <c r="H16" t="s">
        <v>144</v>
      </c>
      <c r="I16" t="s">
        <v>144</v>
      </c>
      <c r="J16" t="s">
        <v>144</v>
      </c>
      <c r="K16" t="s">
        <v>144</v>
      </c>
      <c r="L16" t="s">
        <v>144</v>
      </c>
      <c r="M16" t="s">
        <v>144</v>
      </c>
      <c r="N16" t="s">
        <v>120</v>
      </c>
      <c r="O1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VALUES('AllAdmin','71030301','Y','Y','Y','Y','Y','Y','Y','Y','Y','Y','N','standard_ms');</v>
      </c>
      <c r="P16" t="s">
        <v>1127</v>
      </c>
    </row>
    <row r="17" spans="2:16" x14ac:dyDescent="0.4">
      <c r="B17" s="7" t="s">
        <v>157</v>
      </c>
      <c r="C17" s="27" t="s">
        <v>807</v>
      </c>
      <c r="D17" t="s">
        <v>144</v>
      </c>
      <c r="E17" t="s">
        <v>144</v>
      </c>
      <c r="F17" t="s">
        <v>144</v>
      </c>
      <c r="G17" t="s">
        <v>144</v>
      </c>
      <c r="H17" t="s">
        <v>144</v>
      </c>
      <c r="I17" t="s">
        <v>144</v>
      </c>
      <c r="J17" t="s">
        <v>144</v>
      </c>
      <c r="K17" t="s">
        <v>144</v>
      </c>
      <c r="L17" t="s">
        <v>144</v>
      </c>
      <c r="M17" t="s">
        <v>144</v>
      </c>
      <c r="N17" t="s">
        <v>120</v>
      </c>
      <c r="O1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VALUES('AllAdmin','71040000','Y','Y','Y','Y','Y','Y','Y','Y','Y','Y','N','standard_ms');</v>
      </c>
      <c r="P17" t="s">
        <v>1016</v>
      </c>
    </row>
    <row r="18" spans="2:16" x14ac:dyDescent="0.4">
      <c r="B18" s="7" t="s">
        <v>157</v>
      </c>
      <c r="C18" s="27" t="s">
        <v>808</v>
      </c>
      <c r="D18" t="s">
        <v>144</v>
      </c>
      <c r="E18" t="s">
        <v>144</v>
      </c>
      <c r="F18" t="s">
        <v>144</v>
      </c>
      <c r="G18" t="s">
        <v>144</v>
      </c>
      <c r="H18" t="s">
        <v>144</v>
      </c>
      <c r="I18" t="s">
        <v>144</v>
      </c>
      <c r="J18" t="s">
        <v>144</v>
      </c>
      <c r="K18" t="s">
        <v>144</v>
      </c>
      <c r="L18" t="s">
        <v>144</v>
      </c>
      <c r="M18" t="s">
        <v>144</v>
      </c>
      <c r="N18" t="s">
        <v>120</v>
      </c>
      <c r="O1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VALUES('AllAdmin','71040100','Y','Y','Y','Y','Y','Y','Y','Y','Y','Y','N','standard_ms');</v>
      </c>
      <c r="P18" t="s">
        <v>1017</v>
      </c>
    </row>
    <row r="19" spans="2:16" x14ac:dyDescent="0.4">
      <c r="B19" s="7" t="s">
        <v>157</v>
      </c>
      <c r="C19" s="27" t="s">
        <v>809</v>
      </c>
      <c r="D19" t="s">
        <v>144</v>
      </c>
      <c r="E19" t="s">
        <v>144</v>
      </c>
      <c r="F19" t="s">
        <v>144</v>
      </c>
      <c r="G19" t="s">
        <v>144</v>
      </c>
      <c r="H19" t="s">
        <v>144</v>
      </c>
      <c r="I19" t="s">
        <v>144</v>
      </c>
      <c r="J19" t="s">
        <v>144</v>
      </c>
      <c r="K19" t="s">
        <v>144</v>
      </c>
      <c r="L19" t="s">
        <v>144</v>
      </c>
      <c r="M19" t="s">
        <v>144</v>
      </c>
      <c r="N19" t="s">
        <v>120</v>
      </c>
      <c r="O19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VALUES('AllAdmin','71050000','Y','Y','Y','Y','Y','Y','Y','Y','Y','Y','N','standard_ms');</v>
      </c>
      <c r="P19" t="s">
        <v>1018</v>
      </c>
    </row>
    <row r="20" spans="2:16" x14ac:dyDescent="0.4">
      <c r="B20" s="7" t="s">
        <v>157</v>
      </c>
      <c r="C20" s="27" t="s">
        <v>810</v>
      </c>
      <c r="D20" t="s">
        <v>144</v>
      </c>
      <c r="E20" t="s">
        <v>144</v>
      </c>
      <c r="F20" t="s">
        <v>144</v>
      </c>
      <c r="G20" t="s">
        <v>144</v>
      </c>
      <c r="H20" t="s">
        <v>144</v>
      </c>
      <c r="I20" t="s">
        <v>144</v>
      </c>
      <c r="J20" t="s">
        <v>144</v>
      </c>
      <c r="K20" t="s">
        <v>144</v>
      </c>
      <c r="L20" t="s">
        <v>144</v>
      </c>
      <c r="M20" t="s">
        <v>144</v>
      </c>
      <c r="N20" t="s">
        <v>120</v>
      </c>
      <c r="O20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VALUES('AllAdmin','71050100','Y','Y','Y','Y','Y','Y','Y','Y','Y','Y','N','standard_ms');</v>
      </c>
      <c r="P20" t="s">
        <v>1019</v>
      </c>
    </row>
    <row r="21" spans="2:16" x14ac:dyDescent="0.4">
      <c r="B21" s="7" t="s">
        <v>157</v>
      </c>
      <c r="C21" s="27" t="s">
        <v>811</v>
      </c>
      <c r="D21" t="s">
        <v>144</v>
      </c>
      <c r="E21" t="s">
        <v>144</v>
      </c>
      <c r="F21" t="s">
        <v>144</v>
      </c>
      <c r="G21" t="s">
        <v>144</v>
      </c>
      <c r="H21" t="s">
        <v>144</v>
      </c>
      <c r="I21" t="s">
        <v>144</v>
      </c>
      <c r="J21" t="s">
        <v>144</v>
      </c>
      <c r="K21" t="s">
        <v>144</v>
      </c>
      <c r="L21" t="s">
        <v>144</v>
      </c>
      <c r="M21" t="s">
        <v>144</v>
      </c>
      <c r="N21" t="s">
        <v>120</v>
      </c>
      <c r="O21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VALUES('AllAdmin','71050200','Y','Y','Y','Y','Y','Y','Y','Y','Y','Y','N','standard_ms');</v>
      </c>
      <c r="P21" t="s">
        <v>1020</v>
      </c>
    </row>
    <row r="22" spans="2:16" x14ac:dyDescent="0.4">
      <c r="B22" s="7" t="s">
        <v>157</v>
      </c>
      <c r="C22" s="27" t="s">
        <v>812</v>
      </c>
      <c r="D22" t="s">
        <v>144</v>
      </c>
      <c r="E22" t="s">
        <v>144</v>
      </c>
      <c r="F22" t="s">
        <v>144</v>
      </c>
      <c r="G22" t="s">
        <v>144</v>
      </c>
      <c r="H22" t="s">
        <v>144</v>
      </c>
      <c r="I22" t="s">
        <v>144</v>
      </c>
      <c r="J22" t="s">
        <v>144</v>
      </c>
      <c r="K22" t="s">
        <v>144</v>
      </c>
      <c r="L22" t="s">
        <v>144</v>
      </c>
      <c r="M22" t="s">
        <v>144</v>
      </c>
      <c r="N22" t="s">
        <v>120</v>
      </c>
      <c r="O22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VALUES('AllAdmin','71050300','Y','Y','Y','Y','Y','Y','Y','Y','Y','Y','N','standard_ms');</v>
      </c>
      <c r="P22" t="s">
        <v>1021</v>
      </c>
    </row>
    <row r="23" spans="2:16" x14ac:dyDescent="0.4">
      <c r="B23" s="7" t="s">
        <v>157</v>
      </c>
      <c r="C23" s="27" t="s">
        <v>813</v>
      </c>
      <c r="D23" t="s">
        <v>144</v>
      </c>
      <c r="E23" t="s">
        <v>144</v>
      </c>
      <c r="F23" t="s">
        <v>144</v>
      </c>
      <c r="G23" t="s">
        <v>144</v>
      </c>
      <c r="H23" t="s">
        <v>144</v>
      </c>
      <c r="I23" t="s">
        <v>144</v>
      </c>
      <c r="J23" t="s">
        <v>144</v>
      </c>
      <c r="K23" t="s">
        <v>144</v>
      </c>
      <c r="L23" t="s">
        <v>144</v>
      </c>
      <c r="M23" t="s">
        <v>144</v>
      </c>
      <c r="N23" t="s">
        <v>120</v>
      </c>
      <c r="O23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VALUES('AllAdmin','71060000','Y','Y','Y','Y','Y','Y','Y','Y','Y','Y','N','standard_ms');</v>
      </c>
      <c r="P23" t="s">
        <v>1022</v>
      </c>
    </row>
    <row r="24" spans="2:16" x14ac:dyDescent="0.4">
      <c r="B24" s="7" t="s">
        <v>157</v>
      </c>
      <c r="C24" s="27" t="s">
        <v>814</v>
      </c>
      <c r="D24" t="s">
        <v>144</v>
      </c>
      <c r="E24" t="s">
        <v>144</v>
      </c>
      <c r="F24" t="s">
        <v>144</v>
      </c>
      <c r="G24" t="s">
        <v>144</v>
      </c>
      <c r="H24" t="s">
        <v>144</v>
      </c>
      <c r="I24" t="s">
        <v>144</v>
      </c>
      <c r="J24" t="s">
        <v>144</v>
      </c>
      <c r="K24" t="s">
        <v>144</v>
      </c>
      <c r="L24" t="s">
        <v>144</v>
      </c>
      <c r="M24" t="s">
        <v>144</v>
      </c>
      <c r="N24" t="s">
        <v>120</v>
      </c>
      <c r="O24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VALUES('AllAdmin','71070000','Y','Y','Y','Y','Y','Y','Y','Y','Y','Y','N','standard_ms');</v>
      </c>
      <c r="P24" t="s">
        <v>1023</v>
      </c>
    </row>
    <row r="25" spans="2:16" x14ac:dyDescent="0.4">
      <c r="B25" s="7" t="s">
        <v>157</v>
      </c>
      <c r="C25" s="27" t="s">
        <v>815</v>
      </c>
      <c r="D25" t="s">
        <v>144</v>
      </c>
      <c r="E25" t="s">
        <v>144</v>
      </c>
      <c r="F25" t="s">
        <v>144</v>
      </c>
      <c r="G25" t="s">
        <v>144</v>
      </c>
      <c r="H25" t="s">
        <v>144</v>
      </c>
      <c r="I25" t="s">
        <v>144</v>
      </c>
      <c r="J25" t="s">
        <v>144</v>
      </c>
      <c r="K25" t="s">
        <v>144</v>
      </c>
      <c r="L25" t="s">
        <v>144</v>
      </c>
      <c r="M25" t="s">
        <v>144</v>
      </c>
      <c r="N25" t="s">
        <v>120</v>
      </c>
      <c r="O25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VALUES('AllAdmin','71070100','Y','Y','Y','Y','Y','Y','Y','Y','Y','Y','N','standard_ms');</v>
      </c>
      <c r="P25" t="s">
        <v>1024</v>
      </c>
    </row>
    <row r="26" spans="2:16" x14ac:dyDescent="0.4">
      <c r="B26" s="7" t="s">
        <v>157</v>
      </c>
      <c r="C26" s="27" t="s">
        <v>816</v>
      </c>
      <c r="D26" t="s">
        <v>144</v>
      </c>
      <c r="E26" t="s">
        <v>144</v>
      </c>
      <c r="F26" t="s">
        <v>144</v>
      </c>
      <c r="G26" t="s">
        <v>144</v>
      </c>
      <c r="H26" t="s">
        <v>144</v>
      </c>
      <c r="I26" t="s">
        <v>144</v>
      </c>
      <c r="J26" t="s">
        <v>144</v>
      </c>
      <c r="K26" t="s">
        <v>144</v>
      </c>
      <c r="L26" t="s">
        <v>144</v>
      </c>
      <c r="M26" t="s">
        <v>144</v>
      </c>
      <c r="N26" t="s">
        <v>120</v>
      </c>
      <c r="O2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VALUES('AllAdmin','71070200','Y','Y','Y','Y','Y','Y','Y','Y','Y','Y','N','standard_ms');</v>
      </c>
      <c r="P26" t="s">
        <v>1025</v>
      </c>
    </row>
    <row r="27" spans="2:16" x14ac:dyDescent="0.4">
      <c r="B27" s="7" t="s">
        <v>157</v>
      </c>
      <c r="C27" s="27" t="s">
        <v>817</v>
      </c>
      <c r="D27" t="s">
        <v>144</v>
      </c>
      <c r="E27" t="s">
        <v>144</v>
      </c>
      <c r="F27" t="s">
        <v>144</v>
      </c>
      <c r="G27" t="s">
        <v>144</v>
      </c>
      <c r="H27" t="s">
        <v>144</v>
      </c>
      <c r="I27" t="s">
        <v>144</v>
      </c>
      <c r="J27" t="s">
        <v>144</v>
      </c>
      <c r="K27" t="s">
        <v>144</v>
      </c>
      <c r="L27" t="s">
        <v>144</v>
      </c>
      <c r="M27" t="s">
        <v>144</v>
      </c>
      <c r="N27" t="s">
        <v>120</v>
      </c>
      <c r="O2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VALUES('AllAdmin','71070300','Y','Y','Y','Y','Y','Y','Y','Y','Y','Y','N','standard_ms');</v>
      </c>
      <c r="P27" t="s">
        <v>1026</v>
      </c>
    </row>
    <row r="28" spans="2:16" x14ac:dyDescent="0.4">
      <c r="B28" s="7" t="s">
        <v>157</v>
      </c>
      <c r="C28" s="27" t="s">
        <v>818</v>
      </c>
      <c r="D28" t="s">
        <v>144</v>
      </c>
      <c r="E28" t="s">
        <v>144</v>
      </c>
      <c r="F28" t="s">
        <v>144</v>
      </c>
      <c r="G28" t="s">
        <v>144</v>
      </c>
      <c r="H28" t="s">
        <v>144</v>
      </c>
      <c r="I28" t="s">
        <v>144</v>
      </c>
      <c r="J28" t="s">
        <v>144</v>
      </c>
      <c r="K28" t="s">
        <v>144</v>
      </c>
      <c r="L28" t="s">
        <v>144</v>
      </c>
      <c r="M28" t="s">
        <v>144</v>
      </c>
      <c r="N28" t="s">
        <v>120</v>
      </c>
      <c r="O2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VALUES('AllAdmin','71080000','Y','Y','Y','Y','Y','Y','Y','Y','Y','Y','N','standard_ms');</v>
      </c>
      <c r="P28" t="s">
        <v>1027</v>
      </c>
    </row>
    <row r="29" spans="2:16" x14ac:dyDescent="0.4">
      <c r="B29" s="7" t="s">
        <v>157</v>
      </c>
      <c r="C29" s="27" t="s">
        <v>819</v>
      </c>
      <c r="D29" t="s">
        <v>144</v>
      </c>
      <c r="E29" t="s">
        <v>144</v>
      </c>
      <c r="F29" t="s">
        <v>144</v>
      </c>
      <c r="G29" t="s">
        <v>144</v>
      </c>
      <c r="H29" t="s">
        <v>144</v>
      </c>
      <c r="I29" t="s">
        <v>144</v>
      </c>
      <c r="J29" t="s">
        <v>144</v>
      </c>
      <c r="K29" t="s">
        <v>144</v>
      </c>
      <c r="L29" t="s">
        <v>144</v>
      </c>
      <c r="M29" t="s">
        <v>144</v>
      </c>
      <c r="N29" t="s">
        <v>120</v>
      </c>
      <c r="O29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VALUES('AllAdmin','71080100','Y','Y','Y','Y','Y','Y','Y','Y','Y','Y','N','standard_ms');</v>
      </c>
      <c r="P29" t="s">
        <v>1028</v>
      </c>
    </row>
    <row r="30" spans="2:16" x14ac:dyDescent="0.4">
      <c r="B30" s="7" t="s">
        <v>157</v>
      </c>
      <c r="C30" s="27" t="s">
        <v>820</v>
      </c>
      <c r="D30" t="s">
        <v>144</v>
      </c>
      <c r="E30" t="s">
        <v>144</v>
      </c>
      <c r="F30" t="s">
        <v>144</v>
      </c>
      <c r="G30" t="s">
        <v>144</v>
      </c>
      <c r="H30" t="s">
        <v>144</v>
      </c>
      <c r="I30" t="s">
        <v>144</v>
      </c>
      <c r="J30" t="s">
        <v>144</v>
      </c>
      <c r="K30" t="s">
        <v>144</v>
      </c>
      <c r="L30" t="s">
        <v>144</v>
      </c>
      <c r="M30" t="s">
        <v>144</v>
      </c>
      <c r="N30" t="s">
        <v>120</v>
      </c>
      <c r="O30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VALUES('AllAdmin','71080200','Y','Y','Y','Y','Y','Y','Y','Y','Y','Y','N','standard_ms');</v>
      </c>
      <c r="P30" t="s">
        <v>1029</v>
      </c>
    </row>
    <row r="31" spans="2:16" x14ac:dyDescent="0.4">
      <c r="B31" s="7" t="s">
        <v>157</v>
      </c>
      <c r="C31" s="27" t="s">
        <v>821</v>
      </c>
      <c r="D31" t="s">
        <v>144</v>
      </c>
      <c r="E31" t="s">
        <v>144</v>
      </c>
      <c r="F31" t="s">
        <v>144</v>
      </c>
      <c r="G31" t="s">
        <v>144</v>
      </c>
      <c r="H31" t="s">
        <v>144</v>
      </c>
      <c r="I31" t="s">
        <v>144</v>
      </c>
      <c r="J31" t="s">
        <v>144</v>
      </c>
      <c r="K31" t="s">
        <v>144</v>
      </c>
      <c r="L31" t="s">
        <v>144</v>
      </c>
      <c r="M31" t="s">
        <v>144</v>
      </c>
      <c r="N31" t="s">
        <v>120</v>
      </c>
      <c r="O31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VALUES('AllAdmin','71080300','Y','Y','Y','Y','Y','Y','Y','Y','Y','Y','N','standard_ms');</v>
      </c>
      <c r="P31" t="s">
        <v>1030</v>
      </c>
    </row>
    <row r="32" spans="2:16" x14ac:dyDescent="0.4">
      <c r="B32" s="7" t="s">
        <v>157</v>
      </c>
      <c r="C32" s="27" t="s">
        <v>822</v>
      </c>
      <c r="D32" t="s">
        <v>144</v>
      </c>
      <c r="E32" t="s">
        <v>144</v>
      </c>
      <c r="F32" t="s">
        <v>144</v>
      </c>
      <c r="G32" t="s">
        <v>144</v>
      </c>
      <c r="H32" t="s">
        <v>144</v>
      </c>
      <c r="I32" t="s">
        <v>144</v>
      </c>
      <c r="J32" t="s">
        <v>144</v>
      </c>
      <c r="K32" t="s">
        <v>144</v>
      </c>
      <c r="L32" t="s">
        <v>144</v>
      </c>
      <c r="M32" t="s">
        <v>144</v>
      </c>
      <c r="N32" t="s">
        <v>120</v>
      </c>
      <c r="O32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VALUES('AllAdmin','71090000','Y','Y','Y','Y','Y','Y','Y','Y','Y','Y','N','standard_ms');</v>
      </c>
      <c r="P32" t="s">
        <v>1031</v>
      </c>
    </row>
    <row r="33" spans="2:16" x14ac:dyDescent="0.4">
      <c r="B33" s="7" t="s">
        <v>157</v>
      </c>
      <c r="C33" s="27" t="s">
        <v>823</v>
      </c>
      <c r="D33" t="s">
        <v>144</v>
      </c>
      <c r="E33" t="s">
        <v>144</v>
      </c>
      <c r="F33" t="s">
        <v>144</v>
      </c>
      <c r="G33" t="s">
        <v>144</v>
      </c>
      <c r="H33" t="s">
        <v>144</v>
      </c>
      <c r="I33" t="s">
        <v>144</v>
      </c>
      <c r="J33" t="s">
        <v>144</v>
      </c>
      <c r="K33" t="s">
        <v>144</v>
      </c>
      <c r="L33" t="s">
        <v>144</v>
      </c>
      <c r="M33" t="s">
        <v>144</v>
      </c>
      <c r="N33" t="s">
        <v>120</v>
      </c>
      <c r="O33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VALUES('AllAdmin','71090100','Y','Y','Y','Y','Y','Y','Y','Y','Y','Y','N','standard_ms');</v>
      </c>
      <c r="P33" t="s">
        <v>1032</v>
      </c>
    </row>
    <row r="34" spans="2:16" x14ac:dyDescent="0.4">
      <c r="B34" s="7" t="s">
        <v>157</v>
      </c>
      <c r="C34" s="27" t="s">
        <v>824</v>
      </c>
      <c r="D34" t="s">
        <v>144</v>
      </c>
      <c r="E34" t="s">
        <v>144</v>
      </c>
      <c r="F34" t="s">
        <v>144</v>
      </c>
      <c r="G34" t="s">
        <v>144</v>
      </c>
      <c r="H34" t="s">
        <v>144</v>
      </c>
      <c r="I34" t="s">
        <v>144</v>
      </c>
      <c r="J34" t="s">
        <v>144</v>
      </c>
      <c r="K34" t="s">
        <v>144</v>
      </c>
      <c r="L34" t="s">
        <v>144</v>
      </c>
      <c r="M34" t="s">
        <v>144</v>
      </c>
      <c r="N34" t="s">
        <v>120</v>
      </c>
      <c r="O34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VALUES('AllAdmin','71090200','Y','Y','Y','Y','Y','Y','Y','Y','Y','Y','N','standard_ms');</v>
      </c>
      <c r="P34" t="s">
        <v>1033</v>
      </c>
    </row>
    <row r="35" spans="2:16" x14ac:dyDescent="0.4">
      <c r="B35" s="7" t="s">
        <v>157</v>
      </c>
      <c r="C35" s="27" t="s">
        <v>825</v>
      </c>
      <c r="D35" t="s">
        <v>144</v>
      </c>
      <c r="E35" t="s">
        <v>144</v>
      </c>
      <c r="F35" t="s">
        <v>144</v>
      </c>
      <c r="G35" t="s">
        <v>144</v>
      </c>
      <c r="H35" t="s">
        <v>144</v>
      </c>
      <c r="I35" t="s">
        <v>144</v>
      </c>
      <c r="J35" t="s">
        <v>144</v>
      </c>
      <c r="K35" t="s">
        <v>144</v>
      </c>
      <c r="L35" t="s">
        <v>144</v>
      </c>
      <c r="M35" t="s">
        <v>144</v>
      </c>
      <c r="N35" t="s">
        <v>120</v>
      </c>
      <c r="O35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VALUES('AllAdmin','71090300','Y','Y','Y','Y','Y','Y','Y','Y','Y','Y','N','standard_ms');</v>
      </c>
      <c r="P35" t="s">
        <v>1034</v>
      </c>
    </row>
    <row r="36" spans="2:16" x14ac:dyDescent="0.4">
      <c r="B36" s="7" t="s">
        <v>157</v>
      </c>
      <c r="C36" s="27" t="s">
        <v>826</v>
      </c>
      <c r="D36" t="s">
        <v>144</v>
      </c>
      <c r="E36" t="s">
        <v>144</v>
      </c>
      <c r="F36" t="s">
        <v>144</v>
      </c>
      <c r="G36" t="s">
        <v>144</v>
      </c>
      <c r="H36" t="s">
        <v>144</v>
      </c>
      <c r="I36" t="s">
        <v>144</v>
      </c>
      <c r="J36" t="s">
        <v>144</v>
      </c>
      <c r="K36" t="s">
        <v>144</v>
      </c>
      <c r="L36" t="s">
        <v>144</v>
      </c>
      <c r="M36" t="s">
        <v>144</v>
      </c>
      <c r="N36" t="s">
        <v>120</v>
      </c>
      <c r="O3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VALUES('AllAdmin','71090400','Y','Y','Y','Y','Y','Y','Y','Y','Y','Y','N','standard_ms');</v>
      </c>
      <c r="P36" t="s">
        <v>1035</v>
      </c>
    </row>
    <row r="37" spans="2:16" x14ac:dyDescent="0.4">
      <c r="B37" s="7" t="s">
        <v>157</v>
      </c>
      <c r="C37" s="27" t="s">
        <v>827</v>
      </c>
      <c r="D37" t="s">
        <v>144</v>
      </c>
      <c r="E37" t="s">
        <v>144</v>
      </c>
      <c r="F37" t="s">
        <v>144</v>
      </c>
      <c r="G37" t="s">
        <v>144</v>
      </c>
      <c r="H37" t="s">
        <v>144</v>
      </c>
      <c r="I37" t="s">
        <v>144</v>
      </c>
      <c r="J37" t="s">
        <v>144</v>
      </c>
      <c r="K37" t="s">
        <v>144</v>
      </c>
      <c r="L37" t="s">
        <v>144</v>
      </c>
      <c r="M37" t="s">
        <v>144</v>
      </c>
      <c r="N37" t="s">
        <v>120</v>
      </c>
      <c r="O3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VALUES('AllAdmin','71100000','Y','Y','Y','Y','Y','Y','Y','Y','Y','Y','N','standard_ms');</v>
      </c>
      <c r="P37" t="s">
        <v>1036</v>
      </c>
    </row>
    <row r="38" spans="2:16" x14ac:dyDescent="0.4">
      <c r="B38" s="7" t="s">
        <v>157</v>
      </c>
      <c r="C38" s="27" t="s">
        <v>828</v>
      </c>
      <c r="D38" t="s">
        <v>144</v>
      </c>
      <c r="E38" t="s">
        <v>144</v>
      </c>
      <c r="F38" t="s">
        <v>144</v>
      </c>
      <c r="G38" t="s">
        <v>144</v>
      </c>
      <c r="H38" t="s">
        <v>144</v>
      </c>
      <c r="I38" t="s">
        <v>144</v>
      </c>
      <c r="J38" t="s">
        <v>144</v>
      </c>
      <c r="K38" t="s">
        <v>144</v>
      </c>
      <c r="L38" t="s">
        <v>144</v>
      </c>
      <c r="M38" t="s">
        <v>144</v>
      </c>
      <c r="N38" t="s">
        <v>120</v>
      </c>
      <c r="O3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VALUES('AllAdmin','71100100','Y','Y','Y','Y','Y','Y','Y','Y','Y','Y','N','standard_ms');</v>
      </c>
      <c r="P38" t="s">
        <v>1037</v>
      </c>
    </row>
    <row r="39" spans="2:16" x14ac:dyDescent="0.4">
      <c r="B39" s="7" t="s">
        <v>157</v>
      </c>
      <c r="C39" s="27" t="s">
        <v>829</v>
      </c>
      <c r="D39" t="s">
        <v>144</v>
      </c>
      <c r="E39" t="s">
        <v>144</v>
      </c>
      <c r="F39" t="s">
        <v>144</v>
      </c>
      <c r="G39" t="s">
        <v>144</v>
      </c>
      <c r="H39" t="s">
        <v>144</v>
      </c>
      <c r="I39" t="s">
        <v>144</v>
      </c>
      <c r="J39" t="s">
        <v>144</v>
      </c>
      <c r="K39" t="s">
        <v>144</v>
      </c>
      <c r="L39" t="s">
        <v>144</v>
      </c>
      <c r="M39" t="s">
        <v>144</v>
      </c>
      <c r="N39" t="s">
        <v>120</v>
      </c>
      <c r="O39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VALUES('AllAdmin','71100200','Y','Y','Y','Y','Y','Y','Y','Y','Y','Y','N','standard_ms');</v>
      </c>
      <c r="P39" t="s">
        <v>1038</v>
      </c>
    </row>
    <row r="40" spans="2:16" x14ac:dyDescent="0.4">
      <c r="B40" s="7" t="s">
        <v>157</v>
      </c>
      <c r="C40" s="27" t="s">
        <v>830</v>
      </c>
      <c r="D40" t="s">
        <v>144</v>
      </c>
      <c r="E40" t="s">
        <v>144</v>
      </c>
      <c r="F40" t="s">
        <v>144</v>
      </c>
      <c r="G40" t="s">
        <v>144</v>
      </c>
      <c r="H40" t="s">
        <v>144</v>
      </c>
      <c r="I40" t="s">
        <v>144</v>
      </c>
      <c r="J40" t="s">
        <v>144</v>
      </c>
      <c r="K40" t="s">
        <v>144</v>
      </c>
      <c r="L40" t="s">
        <v>144</v>
      </c>
      <c r="M40" t="s">
        <v>144</v>
      </c>
      <c r="N40" t="s">
        <v>120</v>
      </c>
      <c r="O40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VALUES('AllAdmin','71100300','Y','Y','Y','Y','Y','Y','Y','Y','Y','Y','N','standard_ms');</v>
      </c>
      <c r="P40" t="s">
        <v>1039</v>
      </c>
    </row>
    <row r="41" spans="2:16" x14ac:dyDescent="0.4">
      <c r="B41" s="7" t="s">
        <v>157</v>
      </c>
      <c r="C41" s="27" t="s">
        <v>831</v>
      </c>
      <c r="D41" t="s">
        <v>144</v>
      </c>
      <c r="E41" t="s">
        <v>144</v>
      </c>
      <c r="F41" t="s">
        <v>144</v>
      </c>
      <c r="G41" t="s">
        <v>144</v>
      </c>
      <c r="H41" t="s">
        <v>144</v>
      </c>
      <c r="I41" t="s">
        <v>144</v>
      </c>
      <c r="J41" t="s">
        <v>144</v>
      </c>
      <c r="K41" t="s">
        <v>144</v>
      </c>
      <c r="L41" t="s">
        <v>144</v>
      </c>
      <c r="M41" t="s">
        <v>144</v>
      </c>
      <c r="N41" t="s">
        <v>120</v>
      </c>
      <c r="O41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VALUES('AllAdmin','71110000','Y','Y','Y','Y','Y','Y','Y','Y','Y','Y','N','standard_ms');</v>
      </c>
      <c r="P41" t="s">
        <v>1040</v>
      </c>
    </row>
    <row r="42" spans="2:16" x14ac:dyDescent="0.4">
      <c r="B42" s="7" t="s">
        <v>157</v>
      </c>
      <c r="C42" s="27" t="s">
        <v>832</v>
      </c>
      <c r="D42" t="s">
        <v>144</v>
      </c>
      <c r="E42" t="s">
        <v>144</v>
      </c>
      <c r="F42" t="s">
        <v>144</v>
      </c>
      <c r="G42" t="s">
        <v>144</v>
      </c>
      <c r="H42" t="s">
        <v>144</v>
      </c>
      <c r="I42" t="s">
        <v>144</v>
      </c>
      <c r="J42" t="s">
        <v>144</v>
      </c>
      <c r="K42" t="s">
        <v>144</v>
      </c>
      <c r="L42" t="s">
        <v>144</v>
      </c>
      <c r="M42" t="s">
        <v>144</v>
      </c>
      <c r="N42" t="s">
        <v>120</v>
      </c>
      <c r="O42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VALUES('AllAdmin','71110100','Y','Y','Y','Y','Y','Y','Y','Y','Y','Y','N','standard_ms');</v>
      </c>
      <c r="P42" t="s">
        <v>1041</v>
      </c>
    </row>
    <row r="43" spans="2:16" x14ac:dyDescent="0.4">
      <c r="B43" s="7" t="s">
        <v>157</v>
      </c>
      <c r="C43" s="27" t="s">
        <v>833</v>
      </c>
      <c r="D43" t="s">
        <v>144</v>
      </c>
      <c r="E43" t="s">
        <v>144</v>
      </c>
      <c r="F43" t="s">
        <v>144</v>
      </c>
      <c r="G43" t="s">
        <v>144</v>
      </c>
      <c r="H43" t="s">
        <v>144</v>
      </c>
      <c r="I43" t="s">
        <v>144</v>
      </c>
      <c r="J43" t="s">
        <v>144</v>
      </c>
      <c r="K43" t="s">
        <v>144</v>
      </c>
      <c r="L43" t="s">
        <v>144</v>
      </c>
      <c r="M43" t="s">
        <v>144</v>
      </c>
      <c r="N43" t="s">
        <v>120</v>
      </c>
      <c r="O43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VALUES('AllAdmin','71110200','Y','Y','Y','Y','Y','Y','Y','Y','Y','Y','N','standard_ms');</v>
      </c>
      <c r="P43" t="s">
        <v>1042</v>
      </c>
    </row>
    <row r="44" spans="2:16" x14ac:dyDescent="0.4">
      <c r="B44" s="7" t="s">
        <v>157</v>
      </c>
      <c r="C44" s="27" t="s">
        <v>834</v>
      </c>
      <c r="D44" t="s">
        <v>144</v>
      </c>
      <c r="E44" t="s">
        <v>144</v>
      </c>
      <c r="F44" t="s">
        <v>144</v>
      </c>
      <c r="G44" t="s">
        <v>144</v>
      </c>
      <c r="H44" t="s">
        <v>144</v>
      </c>
      <c r="I44" t="s">
        <v>144</v>
      </c>
      <c r="J44" t="s">
        <v>144</v>
      </c>
      <c r="K44" t="s">
        <v>144</v>
      </c>
      <c r="L44" t="s">
        <v>144</v>
      </c>
      <c r="M44" t="s">
        <v>144</v>
      </c>
      <c r="N44" t="s">
        <v>120</v>
      </c>
      <c r="O44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VALUES('AllAdmin','71110201','Y','Y','Y','Y','Y','Y','Y','Y','Y','Y','N','standard_ms');</v>
      </c>
      <c r="P44" t="s">
        <v>1043</v>
      </c>
    </row>
    <row r="45" spans="2:16" x14ac:dyDescent="0.4">
      <c r="B45" s="7" t="s">
        <v>157</v>
      </c>
      <c r="C45" s="27" t="s">
        <v>835</v>
      </c>
      <c r="D45" t="s">
        <v>144</v>
      </c>
      <c r="E45" t="s">
        <v>144</v>
      </c>
      <c r="F45" t="s">
        <v>144</v>
      </c>
      <c r="G45" t="s">
        <v>144</v>
      </c>
      <c r="H45" t="s">
        <v>144</v>
      </c>
      <c r="I45" t="s">
        <v>144</v>
      </c>
      <c r="J45" t="s">
        <v>144</v>
      </c>
      <c r="K45" t="s">
        <v>144</v>
      </c>
      <c r="L45" t="s">
        <v>144</v>
      </c>
      <c r="M45" t="s">
        <v>144</v>
      </c>
      <c r="N45" t="s">
        <v>120</v>
      </c>
      <c r="O45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VALUES('AllAdmin','71110300','Y','Y','Y','Y','Y','Y','Y','Y','Y','Y','N','standard_ms');</v>
      </c>
      <c r="P45" t="s">
        <v>1044</v>
      </c>
    </row>
    <row r="46" spans="2:16" x14ac:dyDescent="0.4">
      <c r="B46" s="7" t="s">
        <v>157</v>
      </c>
      <c r="C46" s="27" t="s">
        <v>836</v>
      </c>
      <c r="D46" t="s">
        <v>144</v>
      </c>
      <c r="E46" t="s">
        <v>144</v>
      </c>
      <c r="F46" t="s">
        <v>144</v>
      </c>
      <c r="G46" t="s">
        <v>144</v>
      </c>
      <c r="H46" t="s">
        <v>144</v>
      </c>
      <c r="I46" t="s">
        <v>144</v>
      </c>
      <c r="J46" t="s">
        <v>144</v>
      </c>
      <c r="K46" t="s">
        <v>144</v>
      </c>
      <c r="L46" t="s">
        <v>144</v>
      </c>
      <c r="M46" t="s">
        <v>144</v>
      </c>
      <c r="N46" t="s">
        <v>120</v>
      </c>
      <c r="O4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VALUES('AllAdmin','71110301','Y','Y','Y','Y','Y','Y','Y','Y','Y','Y','N','standard_ms');</v>
      </c>
      <c r="P46" t="s">
        <v>1045</v>
      </c>
    </row>
    <row r="47" spans="2:16" x14ac:dyDescent="0.4">
      <c r="B47" s="7" t="s">
        <v>157</v>
      </c>
      <c r="C47" s="14" t="s">
        <v>837</v>
      </c>
      <c r="D47" t="s">
        <v>144</v>
      </c>
      <c r="E47" t="s">
        <v>144</v>
      </c>
      <c r="F47" t="s">
        <v>144</v>
      </c>
      <c r="G47" t="s">
        <v>144</v>
      </c>
      <c r="H47" t="s">
        <v>144</v>
      </c>
      <c r="I47" t="s">
        <v>144</v>
      </c>
      <c r="J47" t="s">
        <v>144</v>
      </c>
      <c r="K47" t="s">
        <v>144</v>
      </c>
      <c r="L47" t="s">
        <v>144</v>
      </c>
      <c r="M47" t="s">
        <v>144</v>
      </c>
      <c r="N47" t="s">
        <v>120</v>
      </c>
      <c r="O4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VALUES('AllAdmin','72000000','Y','Y','Y','Y','Y','Y','Y','Y','Y','Y','N','standard_ms');</v>
      </c>
      <c r="P47" t="s">
        <v>1046</v>
      </c>
    </row>
    <row r="48" spans="2:16" x14ac:dyDescent="0.4">
      <c r="B48" s="7" t="s">
        <v>157</v>
      </c>
      <c r="C48" s="14" t="s">
        <v>838</v>
      </c>
      <c r="D48" t="s">
        <v>144</v>
      </c>
      <c r="E48" t="s">
        <v>144</v>
      </c>
      <c r="F48" t="s">
        <v>144</v>
      </c>
      <c r="G48" t="s">
        <v>144</v>
      </c>
      <c r="H48" t="s">
        <v>144</v>
      </c>
      <c r="I48" t="s">
        <v>144</v>
      </c>
      <c r="J48" t="s">
        <v>144</v>
      </c>
      <c r="K48" t="s">
        <v>144</v>
      </c>
      <c r="L48" t="s">
        <v>144</v>
      </c>
      <c r="M48" t="s">
        <v>144</v>
      </c>
      <c r="N48" t="s">
        <v>120</v>
      </c>
      <c r="O4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VALUES('AllAdmin','72010000','Y','Y','Y','Y','Y','Y','Y','Y','Y','Y','N','standard_ms');</v>
      </c>
      <c r="P48" t="s">
        <v>1047</v>
      </c>
    </row>
    <row r="49" spans="2:16" x14ac:dyDescent="0.4">
      <c r="B49" s="7" t="s">
        <v>157</v>
      </c>
      <c r="C49" s="14" t="s">
        <v>839</v>
      </c>
      <c r="D49" t="s">
        <v>144</v>
      </c>
      <c r="E49" t="s">
        <v>144</v>
      </c>
      <c r="F49" t="s">
        <v>144</v>
      </c>
      <c r="G49" t="s">
        <v>144</v>
      </c>
      <c r="H49" t="s">
        <v>144</v>
      </c>
      <c r="I49" t="s">
        <v>144</v>
      </c>
      <c r="J49" t="s">
        <v>144</v>
      </c>
      <c r="K49" t="s">
        <v>144</v>
      </c>
      <c r="L49" t="s">
        <v>144</v>
      </c>
      <c r="M49" t="s">
        <v>144</v>
      </c>
      <c r="N49" t="s">
        <v>120</v>
      </c>
      <c r="O49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VALUES('AllAdmin','72010100','Y','Y','Y','Y','Y','Y','Y','Y','Y','Y','N','standard_ms');</v>
      </c>
      <c r="P49" t="s">
        <v>1048</v>
      </c>
    </row>
    <row r="50" spans="2:16" x14ac:dyDescent="0.4">
      <c r="B50" s="7" t="s">
        <v>157</v>
      </c>
      <c r="C50" s="14" t="s">
        <v>840</v>
      </c>
      <c r="D50" t="s">
        <v>144</v>
      </c>
      <c r="E50" t="s">
        <v>144</v>
      </c>
      <c r="F50" t="s">
        <v>144</v>
      </c>
      <c r="G50" t="s">
        <v>144</v>
      </c>
      <c r="H50" t="s">
        <v>144</v>
      </c>
      <c r="I50" t="s">
        <v>144</v>
      </c>
      <c r="J50" t="s">
        <v>144</v>
      </c>
      <c r="K50" t="s">
        <v>144</v>
      </c>
      <c r="L50" t="s">
        <v>144</v>
      </c>
      <c r="M50" t="s">
        <v>144</v>
      </c>
      <c r="N50" t="s">
        <v>120</v>
      </c>
      <c r="O50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VALUES('AllAdmin','72010200','Y','Y','Y','Y','Y','Y','Y','Y','Y','Y','N','standard_ms');</v>
      </c>
      <c r="P50" t="s">
        <v>1049</v>
      </c>
    </row>
    <row r="51" spans="2:16" x14ac:dyDescent="0.4">
      <c r="B51" s="7" t="s">
        <v>157</v>
      </c>
      <c r="C51" s="14" t="s">
        <v>841</v>
      </c>
      <c r="D51" t="s">
        <v>144</v>
      </c>
      <c r="E51" t="s">
        <v>144</v>
      </c>
      <c r="F51" t="s">
        <v>144</v>
      </c>
      <c r="G51" t="s">
        <v>144</v>
      </c>
      <c r="H51" t="s">
        <v>144</v>
      </c>
      <c r="I51" t="s">
        <v>144</v>
      </c>
      <c r="J51" t="s">
        <v>144</v>
      </c>
      <c r="K51" t="s">
        <v>144</v>
      </c>
      <c r="L51" t="s">
        <v>144</v>
      </c>
      <c r="M51" t="s">
        <v>144</v>
      </c>
      <c r="N51" t="s">
        <v>120</v>
      </c>
      <c r="O51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VALUES('AllAdmin','72010300','Y','Y','Y','Y','Y','Y','Y','Y','Y','Y','N','standard_ms');</v>
      </c>
      <c r="P51" t="s">
        <v>1050</v>
      </c>
    </row>
    <row r="52" spans="2:16" x14ac:dyDescent="0.4">
      <c r="B52" s="7" t="s">
        <v>157</v>
      </c>
      <c r="C52" s="27" t="s">
        <v>842</v>
      </c>
      <c r="D52" t="s">
        <v>144</v>
      </c>
      <c r="E52" t="s">
        <v>144</v>
      </c>
      <c r="F52" t="s">
        <v>144</v>
      </c>
      <c r="G52" t="s">
        <v>144</v>
      </c>
      <c r="H52" t="s">
        <v>144</v>
      </c>
      <c r="I52" t="s">
        <v>144</v>
      </c>
      <c r="J52" t="s">
        <v>144</v>
      </c>
      <c r="K52" t="s">
        <v>144</v>
      </c>
      <c r="L52" t="s">
        <v>144</v>
      </c>
      <c r="M52" t="s">
        <v>144</v>
      </c>
      <c r="N52" t="s">
        <v>120</v>
      </c>
      <c r="O52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VALUES('AllAdmin','73000000','Y','Y','Y','Y','Y','Y','Y','Y','Y','Y','N','standard_ms');</v>
      </c>
      <c r="P52" t="s">
        <v>1051</v>
      </c>
    </row>
    <row r="53" spans="2:16" x14ac:dyDescent="0.4">
      <c r="B53" s="7" t="s">
        <v>157</v>
      </c>
      <c r="C53" s="27" t="s">
        <v>843</v>
      </c>
      <c r="D53" t="s">
        <v>144</v>
      </c>
      <c r="E53" t="s">
        <v>144</v>
      </c>
      <c r="F53" t="s">
        <v>144</v>
      </c>
      <c r="G53" t="s">
        <v>144</v>
      </c>
      <c r="H53" t="s">
        <v>144</v>
      </c>
      <c r="I53" t="s">
        <v>144</v>
      </c>
      <c r="J53" t="s">
        <v>144</v>
      </c>
      <c r="K53" t="s">
        <v>144</v>
      </c>
      <c r="L53" t="s">
        <v>144</v>
      </c>
      <c r="M53" t="s">
        <v>144</v>
      </c>
      <c r="N53" t="s">
        <v>120</v>
      </c>
      <c r="O53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VALUES('AllAdmin','73010000','Y','Y','Y','Y','Y','Y','Y','Y','Y','Y','N','standard_ms');</v>
      </c>
      <c r="P53" t="s">
        <v>1052</v>
      </c>
    </row>
    <row r="54" spans="2:16" x14ac:dyDescent="0.4">
      <c r="B54" s="7" t="s">
        <v>157</v>
      </c>
      <c r="C54" s="27" t="s">
        <v>844</v>
      </c>
      <c r="D54" t="s">
        <v>144</v>
      </c>
      <c r="E54" t="s">
        <v>144</v>
      </c>
      <c r="F54" t="s">
        <v>144</v>
      </c>
      <c r="G54" t="s">
        <v>144</v>
      </c>
      <c r="H54" t="s">
        <v>144</v>
      </c>
      <c r="I54" t="s">
        <v>144</v>
      </c>
      <c r="J54" t="s">
        <v>144</v>
      </c>
      <c r="K54" t="s">
        <v>144</v>
      </c>
      <c r="L54" t="s">
        <v>144</v>
      </c>
      <c r="M54" t="s">
        <v>144</v>
      </c>
      <c r="N54" t="s">
        <v>120</v>
      </c>
      <c r="O54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VALUES('AllAdmin','73010100','Y','Y','Y','Y','Y','Y','Y','Y','Y','Y','N','standard_ms');</v>
      </c>
      <c r="P54" t="s">
        <v>1053</v>
      </c>
    </row>
    <row r="55" spans="2:16" x14ac:dyDescent="0.4">
      <c r="B55" s="7" t="s">
        <v>157</v>
      </c>
      <c r="C55" s="27" t="s">
        <v>845</v>
      </c>
      <c r="D55" t="s">
        <v>144</v>
      </c>
      <c r="E55" t="s">
        <v>144</v>
      </c>
      <c r="F55" t="s">
        <v>144</v>
      </c>
      <c r="G55" t="s">
        <v>144</v>
      </c>
      <c r="H55" t="s">
        <v>144</v>
      </c>
      <c r="I55" t="s">
        <v>144</v>
      </c>
      <c r="J55" t="s">
        <v>144</v>
      </c>
      <c r="K55" t="s">
        <v>144</v>
      </c>
      <c r="L55" t="s">
        <v>144</v>
      </c>
      <c r="M55" t="s">
        <v>144</v>
      </c>
      <c r="N55" t="s">
        <v>120</v>
      </c>
      <c r="O55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VALUES('AllAdmin','73010200','Y','Y','Y','Y','Y','Y','Y','Y','Y','Y','N','standard_ms');</v>
      </c>
      <c r="P55" t="s">
        <v>1054</v>
      </c>
    </row>
    <row r="56" spans="2:16" x14ac:dyDescent="0.4">
      <c r="B56" s="7" t="s">
        <v>157</v>
      </c>
      <c r="C56" s="27" t="s">
        <v>846</v>
      </c>
      <c r="D56" t="s">
        <v>144</v>
      </c>
      <c r="E56" t="s">
        <v>144</v>
      </c>
      <c r="F56" t="s">
        <v>144</v>
      </c>
      <c r="G56" t="s">
        <v>144</v>
      </c>
      <c r="H56" t="s">
        <v>144</v>
      </c>
      <c r="I56" t="s">
        <v>144</v>
      </c>
      <c r="J56" t="s">
        <v>144</v>
      </c>
      <c r="K56" t="s">
        <v>144</v>
      </c>
      <c r="L56" t="s">
        <v>144</v>
      </c>
      <c r="M56" t="s">
        <v>144</v>
      </c>
      <c r="N56" t="s">
        <v>120</v>
      </c>
      <c r="O5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VALUES('AllAdmin','73010300','Y','Y','Y','Y','Y','Y','Y','Y','Y','Y','N','standard_ms');</v>
      </c>
      <c r="P56" t="s">
        <v>1055</v>
      </c>
    </row>
    <row r="57" spans="2:16" x14ac:dyDescent="0.4">
      <c r="B57" s="7" t="s">
        <v>157</v>
      </c>
      <c r="C57" s="27" t="s">
        <v>847</v>
      </c>
      <c r="D57" t="s">
        <v>144</v>
      </c>
      <c r="E57" t="s">
        <v>144</v>
      </c>
      <c r="F57" t="s">
        <v>144</v>
      </c>
      <c r="G57" t="s">
        <v>144</v>
      </c>
      <c r="H57" t="s">
        <v>144</v>
      </c>
      <c r="I57" t="s">
        <v>144</v>
      </c>
      <c r="J57" t="s">
        <v>144</v>
      </c>
      <c r="K57" t="s">
        <v>144</v>
      </c>
      <c r="L57" t="s">
        <v>144</v>
      </c>
      <c r="M57" t="s">
        <v>144</v>
      </c>
      <c r="N57" t="s">
        <v>120</v>
      </c>
      <c r="O5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VALUES('AllAdmin','73020000','Y','Y','Y','Y','Y','Y','Y','Y','Y','Y','N','standard_ms');</v>
      </c>
      <c r="P57" t="s">
        <v>1056</v>
      </c>
    </row>
    <row r="58" spans="2:16" x14ac:dyDescent="0.4">
      <c r="B58" s="7" t="s">
        <v>157</v>
      </c>
      <c r="C58" s="27" t="s">
        <v>848</v>
      </c>
      <c r="D58" t="s">
        <v>144</v>
      </c>
      <c r="E58" t="s">
        <v>144</v>
      </c>
      <c r="F58" t="s">
        <v>144</v>
      </c>
      <c r="G58" t="s">
        <v>144</v>
      </c>
      <c r="H58" t="s">
        <v>144</v>
      </c>
      <c r="I58" t="s">
        <v>144</v>
      </c>
      <c r="J58" t="s">
        <v>144</v>
      </c>
      <c r="K58" t="s">
        <v>144</v>
      </c>
      <c r="L58" t="s">
        <v>144</v>
      </c>
      <c r="M58" t="s">
        <v>144</v>
      </c>
      <c r="N58" t="s">
        <v>120</v>
      </c>
      <c r="O5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VALUES('AllAdmin','73020100','Y','Y','Y','Y','Y','Y','Y','Y','Y','Y','N','standard_ms');</v>
      </c>
      <c r="P58" t="s">
        <v>1057</v>
      </c>
    </row>
    <row r="59" spans="2:16" x14ac:dyDescent="0.4">
      <c r="B59" s="7" t="s">
        <v>157</v>
      </c>
      <c r="C59" s="27" t="s">
        <v>849</v>
      </c>
      <c r="D59" t="s">
        <v>144</v>
      </c>
      <c r="E59" t="s">
        <v>144</v>
      </c>
      <c r="F59" t="s">
        <v>144</v>
      </c>
      <c r="G59" t="s">
        <v>144</v>
      </c>
      <c r="H59" t="s">
        <v>144</v>
      </c>
      <c r="I59" t="s">
        <v>144</v>
      </c>
      <c r="J59" t="s">
        <v>144</v>
      </c>
      <c r="K59" t="s">
        <v>144</v>
      </c>
      <c r="L59" t="s">
        <v>144</v>
      </c>
      <c r="M59" t="s">
        <v>144</v>
      </c>
      <c r="N59" t="s">
        <v>120</v>
      </c>
      <c r="O59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VALUES('AllAdmin','73020200','Y','Y','Y','Y','Y','Y','Y','Y','Y','Y','N','standard_ms');</v>
      </c>
      <c r="P59" t="s">
        <v>1058</v>
      </c>
    </row>
    <row r="60" spans="2:16" x14ac:dyDescent="0.4">
      <c r="B60" s="7" t="s">
        <v>157</v>
      </c>
      <c r="C60" s="27" t="s">
        <v>850</v>
      </c>
      <c r="D60" t="s">
        <v>144</v>
      </c>
      <c r="E60" t="s">
        <v>144</v>
      </c>
      <c r="F60" t="s">
        <v>144</v>
      </c>
      <c r="G60" t="s">
        <v>144</v>
      </c>
      <c r="H60" t="s">
        <v>144</v>
      </c>
      <c r="I60" t="s">
        <v>144</v>
      </c>
      <c r="J60" t="s">
        <v>144</v>
      </c>
      <c r="K60" t="s">
        <v>144</v>
      </c>
      <c r="L60" t="s">
        <v>144</v>
      </c>
      <c r="M60" t="s">
        <v>144</v>
      </c>
      <c r="N60" t="s">
        <v>120</v>
      </c>
      <c r="O60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VALUES('AllAdmin','73020300','Y','Y','Y','Y','Y','Y','Y','Y','Y','Y','N','standard_ms');</v>
      </c>
      <c r="P60" t="s">
        <v>1059</v>
      </c>
    </row>
    <row r="61" spans="2:16" x14ac:dyDescent="0.4">
      <c r="B61" s="7" t="s">
        <v>157</v>
      </c>
      <c r="C61" s="35" t="s">
        <v>851</v>
      </c>
      <c r="D61" t="s">
        <v>144</v>
      </c>
      <c r="E61" t="s">
        <v>144</v>
      </c>
      <c r="F61" t="s">
        <v>144</v>
      </c>
      <c r="G61" t="s">
        <v>144</v>
      </c>
      <c r="H61" t="s">
        <v>144</v>
      </c>
      <c r="I61" t="s">
        <v>144</v>
      </c>
      <c r="J61" t="s">
        <v>144</v>
      </c>
      <c r="K61" t="s">
        <v>144</v>
      </c>
      <c r="L61" t="s">
        <v>144</v>
      </c>
      <c r="M61" t="s">
        <v>144</v>
      </c>
      <c r="N61" t="s">
        <v>120</v>
      </c>
      <c r="O61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VALUES('AllAdmin','74000000','Y','Y','Y','Y','Y','Y','Y','Y','Y','Y','N','standard_ms');</v>
      </c>
      <c r="P61" t="s">
        <v>1060</v>
      </c>
    </row>
    <row r="62" spans="2:16" x14ac:dyDescent="0.4">
      <c r="B62" s="7" t="s">
        <v>157</v>
      </c>
      <c r="C62" s="35" t="s">
        <v>852</v>
      </c>
      <c r="D62" t="s">
        <v>144</v>
      </c>
      <c r="E62" t="s">
        <v>144</v>
      </c>
      <c r="F62" t="s">
        <v>144</v>
      </c>
      <c r="G62" t="s">
        <v>144</v>
      </c>
      <c r="H62" t="s">
        <v>144</v>
      </c>
      <c r="I62" t="s">
        <v>144</v>
      </c>
      <c r="J62" t="s">
        <v>144</v>
      </c>
      <c r="K62" t="s">
        <v>144</v>
      </c>
      <c r="L62" t="s">
        <v>144</v>
      </c>
      <c r="M62" t="s">
        <v>144</v>
      </c>
      <c r="N62" t="s">
        <v>120</v>
      </c>
      <c r="O62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VALUES('AllAdmin','74010000','Y','Y','Y','Y','Y','Y','Y','Y','Y','Y','N','standard_ms');</v>
      </c>
      <c r="P62" t="s">
        <v>1061</v>
      </c>
    </row>
    <row r="63" spans="2:16" x14ac:dyDescent="0.4">
      <c r="B63" s="7" t="s">
        <v>157</v>
      </c>
      <c r="C63" s="35" t="s">
        <v>853</v>
      </c>
      <c r="D63" t="s">
        <v>144</v>
      </c>
      <c r="E63" t="s">
        <v>144</v>
      </c>
      <c r="F63" t="s">
        <v>144</v>
      </c>
      <c r="G63" t="s">
        <v>144</v>
      </c>
      <c r="H63" t="s">
        <v>144</v>
      </c>
      <c r="I63" t="s">
        <v>144</v>
      </c>
      <c r="J63" t="s">
        <v>144</v>
      </c>
      <c r="K63" t="s">
        <v>144</v>
      </c>
      <c r="L63" t="s">
        <v>144</v>
      </c>
      <c r="M63" t="s">
        <v>144</v>
      </c>
      <c r="N63" t="s">
        <v>120</v>
      </c>
      <c r="O63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VALUES('AllAdmin','74010100','Y','Y','Y','Y','Y','Y','Y','Y','Y','Y','N','standard_ms');</v>
      </c>
      <c r="P63" t="s">
        <v>1062</v>
      </c>
    </row>
    <row r="64" spans="2:16" x14ac:dyDescent="0.4">
      <c r="B64" s="7" t="s">
        <v>157</v>
      </c>
      <c r="C64" s="35" t="s">
        <v>854</v>
      </c>
      <c r="D64" t="s">
        <v>144</v>
      </c>
      <c r="E64" t="s">
        <v>144</v>
      </c>
      <c r="F64" t="s">
        <v>144</v>
      </c>
      <c r="G64" t="s">
        <v>144</v>
      </c>
      <c r="H64" t="s">
        <v>144</v>
      </c>
      <c r="I64" t="s">
        <v>144</v>
      </c>
      <c r="J64" t="s">
        <v>144</v>
      </c>
      <c r="K64" t="s">
        <v>144</v>
      </c>
      <c r="L64" t="s">
        <v>144</v>
      </c>
      <c r="M64" t="s">
        <v>144</v>
      </c>
      <c r="N64" t="s">
        <v>120</v>
      </c>
      <c r="O64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VALUES('AllAdmin','74010101','Y','Y','Y','Y','Y','Y','Y','Y','Y','Y','N','standard_ms');</v>
      </c>
      <c r="P64" t="s">
        <v>1063</v>
      </c>
    </row>
    <row r="65" spans="2:16" x14ac:dyDescent="0.4">
      <c r="B65" s="7" t="s">
        <v>157</v>
      </c>
      <c r="C65" s="35" t="s">
        <v>855</v>
      </c>
      <c r="D65" t="s">
        <v>144</v>
      </c>
      <c r="E65" t="s">
        <v>144</v>
      </c>
      <c r="F65" t="s">
        <v>144</v>
      </c>
      <c r="G65" t="s">
        <v>144</v>
      </c>
      <c r="H65" t="s">
        <v>144</v>
      </c>
      <c r="I65" t="s">
        <v>144</v>
      </c>
      <c r="J65" t="s">
        <v>144</v>
      </c>
      <c r="K65" t="s">
        <v>144</v>
      </c>
      <c r="L65" t="s">
        <v>144</v>
      </c>
      <c r="M65" t="s">
        <v>144</v>
      </c>
      <c r="N65" t="s">
        <v>120</v>
      </c>
      <c r="O65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VALUES('AllAdmin','74010102','Y','Y','Y','Y','Y','Y','Y','Y','Y','Y','N','standard_ms');</v>
      </c>
      <c r="P65" t="s">
        <v>1064</v>
      </c>
    </row>
    <row r="66" spans="2:16" x14ac:dyDescent="0.4">
      <c r="B66" s="7" t="s">
        <v>157</v>
      </c>
      <c r="C66" s="35" t="s">
        <v>856</v>
      </c>
      <c r="D66" t="s">
        <v>144</v>
      </c>
      <c r="E66" t="s">
        <v>144</v>
      </c>
      <c r="F66" t="s">
        <v>144</v>
      </c>
      <c r="G66" t="s">
        <v>144</v>
      </c>
      <c r="H66" t="s">
        <v>144</v>
      </c>
      <c r="I66" t="s">
        <v>144</v>
      </c>
      <c r="J66" t="s">
        <v>144</v>
      </c>
      <c r="K66" t="s">
        <v>144</v>
      </c>
      <c r="L66" t="s">
        <v>144</v>
      </c>
      <c r="M66" t="s">
        <v>144</v>
      </c>
      <c r="N66" t="s">
        <v>120</v>
      </c>
      <c r="O66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VALUES('AllAdmin','74010103','Y','Y','Y','Y','Y','Y','Y','Y','Y','Y','N','standard_ms');</v>
      </c>
      <c r="P66" t="s">
        <v>1065</v>
      </c>
    </row>
    <row r="67" spans="2:16" x14ac:dyDescent="0.4">
      <c r="B67" s="7" t="s">
        <v>157</v>
      </c>
      <c r="C67" s="35" t="s">
        <v>857</v>
      </c>
      <c r="D67" t="s">
        <v>144</v>
      </c>
      <c r="E67" t="s">
        <v>144</v>
      </c>
      <c r="F67" t="s">
        <v>144</v>
      </c>
      <c r="G67" t="s">
        <v>144</v>
      </c>
      <c r="H67" t="s">
        <v>144</v>
      </c>
      <c r="I67" t="s">
        <v>144</v>
      </c>
      <c r="J67" t="s">
        <v>144</v>
      </c>
      <c r="K67" t="s">
        <v>144</v>
      </c>
      <c r="L67" t="s">
        <v>144</v>
      </c>
      <c r="M67" t="s">
        <v>144</v>
      </c>
      <c r="N67" t="s">
        <v>120</v>
      </c>
      <c r="O67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VALUES('AllAdmin','74010200','Y','Y','Y','Y','Y','Y','Y','Y','Y','Y','N','standard_ms');</v>
      </c>
      <c r="P67" t="s">
        <v>1066</v>
      </c>
    </row>
    <row r="68" spans="2:16" x14ac:dyDescent="0.4">
      <c r="B68" s="7" t="s">
        <v>157</v>
      </c>
      <c r="C68" s="35" t="s">
        <v>858</v>
      </c>
      <c r="D68" t="s">
        <v>144</v>
      </c>
      <c r="E68" t="s">
        <v>144</v>
      </c>
      <c r="F68" t="s">
        <v>144</v>
      </c>
      <c r="G68" t="s">
        <v>144</v>
      </c>
      <c r="H68" t="s">
        <v>144</v>
      </c>
      <c r="I68" t="s">
        <v>144</v>
      </c>
      <c r="J68" t="s">
        <v>144</v>
      </c>
      <c r="K68" t="s">
        <v>144</v>
      </c>
      <c r="L68" t="s">
        <v>144</v>
      </c>
      <c r="M68" t="s">
        <v>144</v>
      </c>
      <c r="N68" t="s">
        <v>120</v>
      </c>
      <c r="O68" s="23" t="str">
        <f t="shared" si="0"/>
        <v>INSERT INTO STB_M_MENU_AUTH_MNG (AUTH_ID, MENU_CD, READ_YN, WRITE_YN, UPDATE_YN, DELETE_YN, POPUP_OPEN_YN, POPUP_READ_YN, POPUP_WRITE_YN, POPUP_UPDATE_YN, POPUP_DELETE_YN, USE_YN, IS_DEL_ABLE , REG_USER ) VALUES('AllAdmin','74010201','Y','Y','Y','Y','Y','Y','Y','Y','Y','Y','N','standard_ms');</v>
      </c>
      <c r="P68" t="s">
        <v>1067</v>
      </c>
    </row>
    <row r="69" spans="2:16" x14ac:dyDescent="0.4">
      <c r="B69" s="7" t="s">
        <v>157</v>
      </c>
      <c r="C69" s="35" t="s">
        <v>859</v>
      </c>
      <c r="D69" t="s">
        <v>144</v>
      </c>
      <c r="E69" t="s">
        <v>144</v>
      </c>
      <c r="F69" t="s">
        <v>144</v>
      </c>
      <c r="G69" t="s">
        <v>144</v>
      </c>
      <c r="H69" t="s">
        <v>144</v>
      </c>
      <c r="I69" t="s">
        <v>144</v>
      </c>
      <c r="J69" t="s">
        <v>144</v>
      </c>
      <c r="K69" t="s">
        <v>144</v>
      </c>
      <c r="L69" t="s">
        <v>144</v>
      </c>
      <c r="M69" t="s">
        <v>144</v>
      </c>
      <c r="N69" t="s">
        <v>120</v>
      </c>
      <c r="O69" s="23" t="str">
        <f t="shared" ref="O69:P120" si="1">"INSERT INTO STB_M_MENU_AUTH_MNG (AUTH_ID, MENU_CD, READ_YN, WRITE_YN, UPDATE_YN, DELETE_YN, POPUP_OPEN_YN, POPUP_READ_YN, POPUP_WRITE_YN, POPUP_UPDATE_YN, POPUP_DELETE_YN, USE_YN, IS_DEL_ABLE , REG_USER ) VALUES('"&amp;B69&amp;"','"&amp;C69&amp;"','"&amp;D69&amp;"','"&amp;E69&amp;"','"&amp;F69&amp;"','"&amp;G69&amp;"','"&amp;H69&amp;"','"&amp;I69&amp;"','"&amp;J69&amp;"','"&amp;K69&amp;"','"&amp;L69&amp;"','"&amp;M69&amp;"','"&amp;N69&amp;"','standard_ms');"</f>
        <v>INSERT INTO STB_M_MENU_AUTH_MNG (AUTH_ID, MENU_CD, READ_YN, WRITE_YN, UPDATE_YN, DELETE_YN, POPUP_OPEN_YN, POPUP_READ_YN, POPUP_WRITE_YN, POPUP_UPDATE_YN, POPUP_DELETE_YN, USE_YN, IS_DEL_ABLE , REG_USER ) VALUES('AllAdmin','74010202','Y','Y','Y','Y','Y','Y','Y','Y','Y','Y','N','standard_ms');</v>
      </c>
      <c r="P69" t="s">
        <v>1068</v>
      </c>
    </row>
    <row r="70" spans="2:16" x14ac:dyDescent="0.4">
      <c r="B70" s="7" t="s">
        <v>157</v>
      </c>
      <c r="C70" s="35" t="s">
        <v>860</v>
      </c>
      <c r="D70" t="s">
        <v>144</v>
      </c>
      <c r="E70" t="s">
        <v>144</v>
      </c>
      <c r="F70" t="s">
        <v>144</v>
      </c>
      <c r="G70" t="s">
        <v>144</v>
      </c>
      <c r="H70" t="s">
        <v>144</v>
      </c>
      <c r="I70" t="s">
        <v>144</v>
      </c>
      <c r="J70" t="s">
        <v>144</v>
      </c>
      <c r="K70" t="s">
        <v>144</v>
      </c>
      <c r="L70" t="s">
        <v>144</v>
      </c>
      <c r="M70" t="s">
        <v>144</v>
      </c>
      <c r="N70" t="s">
        <v>120</v>
      </c>
      <c r="O70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VALUES('AllAdmin','74010203','Y','Y','Y','Y','Y','Y','Y','Y','Y','Y','N','standard_ms');</v>
      </c>
      <c r="P70" t="s">
        <v>1069</v>
      </c>
    </row>
    <row r="71" spans="2:16" x14ac:dyDescent="0.4">
      <c r="B71" s="7" t="s">
        <v>157</v>
      </c>
      <c r="C71" s="35" t="s">
        <v>861</v>
      </c>
      <c r="D71" t="s">
        <v>144</v>
      </c>
      <c r="E71" t="s">
        <v>144</v>
      </c>
      <c r="F71" t="s">
        <v>144</v>
      </c>
      <c r="G71" t="s">
        <v>144</v>
      </c>
      <c r="H71" t="s">
        <v>144</v>
      </c>
      <c r="I71" t="s">
        <v>144</v>
      </c>
      <c r="J71" t="s">
        <v>144</v>
      </c>
      <c r="K71" t="s">
        <v>144</v>
      </c>
      <c r="L71" t="s">
        <v>144</v>
      </c>
      <c r="M71" t="s">
        <v>144</v>
      </c>
      <c r="N71" t="s">
        <v>120</v>
      </c>
      <c r="O71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VALUES('AllAdmin','74010300','Y','Y','Y','Y','Y','Y','Y','Y','Y','Y','N','standard_ms');</v>
      </c>
      <c r="P71" t="s">
        <v>1070</v>
      </c>
    </row>
    <row r="72" spans="2:16" x14ac:dyDescent="0.4">
      <c r="B72" s="7" t="s">
        <v>157</v>
      </c>
      <c r="C72" s="35" t="s">
        <v>862</v>
      </c>
      <c r="D72" t="s">
        <v>144</v>
      </c>
      <c r="E72" t="s">
        <v>144</v>
      </c>
      <c r="F72" t="s">
        <v>144</v>
      </c>
      <c r="G72" t="s">
        <v>144</v>
      </c>
      <c r="H72" t="s">
        <v>144</v>
      </c>
      <c r="I72" t="s">
        <v>144</v>
      </c>
      <c r="J72" t="s">
        <v>144</v>
      </c>
      <c r="K72" t="s">
        <v>144</v>
      </c>
      <c r="L72" t="s">
        <v>144</v>
      </c>
      <c r="M72" t="s">
        <v>144</v>
      </c>
      <c r="N72" t="s">
        <v>120</v>
      </c>
      <c r="O72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VALUES('AllAdmin','74010301','Y','Y','Y','Y','Y','Y','Y','Y','Y','Y','N','standard_ms');</v>
      </c>
      <c r="P72" t="s">
        <v>1071</v>
      </c>
    </row>
    <row r="73" spans="2:16" x14ac:dyDescent="0.4">
      <c r="B73" s="7" t="s">
        <v>157</v>
      </c>
      <c r="C73" s="35" t="s">
        <v>863</v>
      </c>
      <c r="D73" t="s">
        <v>144</v>
      </c>
      <c r="E73" t="s">
        <v>144</v>
      </c>
      <c r="F73" t="s">
        <v>144</v>
      </c>
      <c r="G73" t="s">
        <v>144</v>
      </c>
      <c r="H73" t="s">
        <v>144</v>
      </c>
      <c r="I73" t="s">
        <v>144</v>
      </c>
      <c r="J73" t="s">
        <v>144</v>
      </c>
      <c r="K73" t="s">
        <v>144</v>
      </c>
      <c r="L73" t="s">
        <v>144</v>
      </c>
      <c r="M73" t="s">
        <v>144</v>
      </c>
      <c r="N73" t="s">
        <v>120</v>
      </c>
      <c r="O73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VALUES('AllAdmin','74010302','Y','Y','Y','Y','Y','Y','Y','Y','Y','Y','N','standard_ms');</v>
      </c>
      <c r="P73" t="s">
        <v>1072</v>
      </c>
    </row>
    <row r="74" spans="2:16" x14ac:dyDescent="0.4">
      <c r="B74" s="7" t="s">
        <v>157</v>
      </c>
      <c r="C74" s="35" t="s">
        <v>864</v>
      </c>
      <c r="D74" t="s">
        <v>144</v>
      </c>
      <c r="E74" t="s">
        <v>144</v>
      </c>
      <c r="F74" t="s">
        <v>144</v>
      </c>
      <c r="G74" t="s">
        <v>144</v>
      </c>
      <c r="H74" t="s">
        <v>144</v>
      </c>
      <c r="I74" t="s">
        <v>144</v>
      </c>
      <c r="J74" t="s">
        <v>144</v>
      </c>
      <c r="K74" t="s">
        <v>144</v>
      </c>
      <c r="L74" t="s">
        <v>144</v>
      </c>
      <c r="M74" t="s">
        <v>144</v>
      </c>
      <c r="N74" t="s">
        <v>120</v>
      </c>
      <c r="O74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VALUES('AllAdmin','74010303','Y','Y','Y','Y','Y','Y','Y','Y','Y','Y','N','standard_ms');</v>
      </c>
      <c r="P74" t="s">
        <v>1073</v>
      </c>
    </row>
    <row r="75" spans="2:16" x14ac:dyDescent="0.4">
      <c r="B75" s="7" t="s">
        <v>157</v>
      </c>
      <c r="C75" s="35" t="s">
        <v>865</v>
      </c>
      <c r="D75" t="s">
        <v>144</v>
      </c>
      <c r="E75" t="s">
        <v>144</v>
      </c>
      <c r="F75" t="s">
        <v>144</v>
      </c>
      <c r="G75" t="s">
        <v>144</v>
      </c>
      <c r="H75" t="s">
        <v>144</v>
      </c>
      <c r="I75" t="s">
        <v>144</v>
      </c>
      <c r="J75" t="s">
        <v>144</v>
      </c>
      <c r="K75" t="s">
        <v>144</v>
      </c>
      <c r="L75" t="s">
        <v>144</v>
      </c>
      <c r="M75" t="s">
        <v>144</v>
      </c>
      <c r="N75" t="s">
        <v>120</v>
      </c>
      <c r="O75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VALUES('AllAdmin','74010400','Y','Y','Y','Y','Y','Y','Y','Y','Y','Y','N','standard_ms');</v>
      </c>
      <c r="P75" t="s">
        <v>1074</v>
      </c>
    </row>
    <row r="76" spans="2:16" x14ac:dyDescent="0.4">
      <c r="B76" s="7" t="s">
        <v>157</v>
      </c>
      <c r="C76" s="35" t="s">
        <v>866</v>
      </c>
      <c r="D76" t="s">
        <v>144</v>
      </c>
      <c r="E76" t="s">
        <v>144</v>
      </c>
      <c r="F76" t="s">
        <v>144</v>
      </c>
      <c r="G76" t="s">
        <v>144</v>
      </c>
      <c r="H76" t="s">
        <v>144</v>
      </c>
      <c r="I76" t="s">
        <v>144</v>
      </c>
      <c r="J76" t="s">
        <v>144</v>
      </c>
      <c r="K76" t="s">
        <v>144</v>
      </c>
      <c r="L76" t="s">
        <v>144</v>
      </c>
      <c r="M76" t="s">
        <v>144</v>
      </c>
      <c r="N76" t="s">
        <v>120</v>
      </c>
      <c r="O76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VALUES('AllAdmin','74010401','Y','Y','Y','Y','Y','Y','Y','Y','Y','Y','N','standard_ms');</v>
      </c>
      <c r="P76" t="s">
        <v>1075</v>
      </c>
    </row>
    <row r="77" spans="2:16" x14ac:dyDescent="0.4">
      <c r="B77" s="7" t="s">
        <v>157</v>
      </c>
      <c r="C77" s="35" t="s">
        <v>867</v>
      </c>
      <c r="D77" t="s">
        <v>144</v>
      </c>
      <c r="E77" t="s">
        <v>144</v>
      </c>
      <c r="F77" t="s">
        <v>144</v>
      </c>
      <c r="G77" t="s">
        <v>144</v>
      </c>
      <c r="H77" t="s">
        <v>144</v>
      </c>
      <c r="I77" t="s">
        <v>144</v>
      </c>
      <c r="J77" t="s">
        <v>144</v>
      </c>
      <c r="K77" t="s">
        <v>144</v>
      </c>
      <c r="L77" t="s">
        <v>144</v>
      </c>
      <c r="M77" t="s">
        <v>144</v>
      </c>
      <c r="N77" t="s">
        <v>120</v>
      </c>
      <c r="O77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VALUES('AllAdmin','74010402','Y','Y','Y','Y','Y','Y','Y','Y','Y','Y','N','standard_ms');</v>
      </c>
      <c r="P77" t="s">
        <v>1076</v>
      </c>
    </row>
    <row r="78" spans="2:16" x14ac:dyDescent="0.4">
      <c r="B78" s="7" t="s">
        <v>157</v>
      </c>
      <c r="C78" s="35" t="s">
        <v>868</v>
      </c>
      <c r="D78" t="s">
        <v>144</v>
      </c>
      <c r="E78" t="s">
        <v>144</v>
      </c>
      <c r="F78" t="s">
        <v>144</v>
      </c>
      <c r="G78" t="s">
        <v>144</v>
      </c>
      <c r="H78" t="s">
        <v>144</v>
      </c>
      <c r="I78" t="s">
        <v>144</v>
      </c>
      <c r="J78" t="s">
        <v>144</v>
      </c>
      <c r="K78" t="s">
        <v>144</v>
      </c>
      <c r="L78" t="s">
        <v>144</v>
      </c>
      <c r="M78" t="s">
        <v>144</v>
      </c>
      <c r="N78" t="s">
        <v>120</v>
      </c>
      <c r="O78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VALUES('AllAdmin','74010403','Y','Y','Y','Y','Y','Y','Y','Y','Y','Y','N','standard_ms');</v>
      </c>
      <c r="P78" t="s">
        <v>1077</v>
      </c>
    </row>
    <row r="79" spans="2:16" x14ac:dyDescent="0.4">
      <c r="B79" s="7" t="s">
        <v>157</v>
      </c>
      <c r="C79" s="35" t="s">
        <v>869</v>
      </c>
      <c r="D79" t="s">
        <v>144</v>
      </c>
      <c r="E79" t="s">
        <v>144</v>
      </c>
      <c r="F79" t="s">
        <v>144</v>
      </c>
      <c r="G79" t="s">
        <v>144</v>
      </c>
      <c r="H79" t="s">
        <v>144</v>
      </c>
      <c r="I79" t="s">
        <v>144</v>
      </c>
      <c r="J79" t="s">
        <v>144</v>
      </c>
      <c r="K79" t="s">
        <v>144</v>
      </c>
      <c r="L79" t="s">
        <v>144</v>
      </c>
      <c r="M79" t="s">
        <v>144</v>
      </c>
      <c r="N79" t="s">
        <v>120</v>
      </c>
      <c r="O79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VALUES('AllAdmin','74010500','Y','Y','Y','Y','Y','Y','Y','Y','Y','Y','N','standard_ms');</v>
      </c>
      <c r="P79" t="s">
        <v>1078</v>
      </c>
    </row>
    <row r="80" spans="2:16" x14ac:dyDescent="0.4">
      <c r="B80" s="7" t="s">
        <v>157</v>
      </c>
      <c r="C80" s="35" t="s">
        <v>870</v>
      </c>
      <c r="D80" t="s">
        <v>144</v>
      </c>
      <c r="E80" t="s">
        <v>144</v>
      </c>
      <c r="F80" t="s">
        <v>144</v>
      </c>
      <c r="G80" t="s">
        <v>144</v>
      </c>
      <c r="H80" t="s">
        <v>144</v>
      </c>
      <c r="I80" t="s">
        <v>144</v>
      </c>
      <c r="J80" t="s">
        <v>144</v>
      </c>
      <c r="K80" t="s">
        <v>144</v>
      </c>
      <c r="L80" t="s">
        <v>144</v>
      </c>
      <c r="M80" t="s">
        <v>144</v>
      </c>
      <c r="N80" t="s">
        <v>120</v>
      </c>
      <c r="O80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VALUES('AllAdmin','74010501','Y','Y','Y','Y','Y','Y','Y','Y','Y','Y','N','standard_ms');</v>
      </c>
      <c r="P80" t="s">
        <v>1079</v>
      </c>
    </row>
    <row r="81" spans="2:16" x14ac:dyDescent="0.4">
      <c r="B81" s="7" t="s">
        <v>157</v>
      </c>
      <c r="C81" s="35" t="s">
        <v>871</v>
      </c>
      <c r="D81" t="s">
        <v>144</v>
      </c>
      <c r="E81" t="s">
        <v>144</v>
      </c>
      <c r="F81" t="s">
        <v>144</v>
      </c>
      <c r="G81" t="s">
        <v>144</v>
      </c>
      <c r="H81" t="s">
        <v>144</v>
      </c>
      <c r="I81" t="s">
        <v>144</v>
      </c>
      <c r="J81" t="s">
        <v>144</v>
      </c>
      <c r="K81" t="s">
        <v>144</v>
      </c>
      <c r="L81" t="s">
        <v>144</v>
      </c>
      <c r="M81" t="s">
        <v>144</v>
      </c>
      <c r="N81" t="s">
        <v>120</v>
      </c>
      <c r="O81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VALUES('AllAdmin','74010502','Y','Y','Y','Y','Y','Y','Y','Y','Y','Y','N','standard_ms');</v>
      </c>
      <c r="P81" t="s">
        <v>1080</v>
      </c>
    </row>
    <row r="82" spans="2:16" x14ac:dyDescent="0.4">
      <c r="B82" s="7" t="s">
        <v>157</v>
      </c>
      <c r="C82" s="35" t="s">
        <v>872</v>
      </c>
      <c r="D82" t="s">
        <v>144</v>
      </c>
      <c r="E82" t="s">
        <v>144</v>
      </c>
      <c r="F82" t="s">
        <v>144</v>
      </c>
      <c r="G82" t="s">
        <v>144</v>
      </c>
      <c r="H82" t="s">
        <v>144</v>
      </c>
      <c r="I82" t="s">
        <v>144</v>
      </c>
      <c r="J82" t="s">
        <v>144</v>
      </c>
      <c r="K82" t="s">
        <v>144</v>
      </c>
      <c r="L82" t="s">
        <v>144</v>
      </c>
      <c r="M82" t="s">
        <v>144</v>
      </c>
      <c r="N82" t="s">
        <v>120</v>
      </c>
      <c r="O82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VALUES('AllAdmin','74010503','Y','Y','Y','Y','Y','Y','Y','Y','Y','Y','N','standard_ms');</v>
      </c>
      <c r="P82" t="s">
        <v>1081</v>
      </c>
    </row>
    <row r="83" spans="2:16" x14ac:dyDescent="0.4">
      <c r="B83" s="7" t="s">
        <v>157</v>
      </c>
      <c r="C83" s="35" t="s">
        <v>873</v>
      </c>
      <c r="D83" t="s">
        <v>144</v>
      </c>
      <c r="E83" t="s">
        <v>144</v>
      </c>
      <c r="F83" t="s">
        <v>144</v>
      </c>
      <c r="G83" t="s">
        <v>144</v>
      </c>
      <c r="H83" t="s">
        <v>144</v>
      </c>
      <c r="I83" t="s">
        <v>144</v>
      </c>
      <c r="J83" t="s">
        <v>144</v>
      </c>
      <c r="K83" t="s">
        <v>144</v>
      </c>
      <c r="L83" t="s">
        <v>144</v>
      </c>
      <c r="M83" t="s">
        <v>144</v>
      </c>
      <c r="N83" t="s">
        <v>120</v>
      </c>
      <c r="O83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VALUES('AllAdmin','74010600','Y','Y','Y','Y','Y','Y','Y','Y','Y','Y','N','standard_ms');</v>
      </c>
      <c r="P83" t="s">
        <v>1082</v>
      </c>
    </row>
    <row r="84" spans="2:16" x14ac:dyDescent="0.4">
      <c r="B84" s="7" t="s">
        <v>157</v>
      </c>
      <c r="C84" s="35" t="s">
        <v>874</v>
      </c>
      <c r="D84" t="s">
        <v>144</v>
      </c>
      <c r="E84" t="s">
        <v>144</v>
      </c>
      <c r="F84" t="s">
        <v>144</v>
      </c>
      <c r="G84" t="s">
        <v>144</v>
      </c>
      <c r="H84" t="s">
        <v>144</v>
      </c>
      <c r="I84" t="s">
        <v>144</v>
      </c>
      <c r="J84" t="s">
        <v>144</v>
      </c>
      <c r="K84" t="s">
        <v>144</v>
      </c>
      <c r="L84" t="s">
        <v>144</v>
      </c>
      <c r="M84" t="s">
        <v>144</v>
      </c>
      <c r="N84" t="s">
        <v>120</v>
      </c>
      <c r="O84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VALUES('AllAdmin','74010601','Y','Y','Y','Y','Y','Y','Y','Y','Y','Y','N','standard_ms');</v>
      </c>
      <c r="P84" t="s">
        <v>1083</v>
      </c>
    </row>
    <row r="85" spans="2:16" x14ac:dyDescent="0.4">
      <c r="B85" s="7" t="s">
        <v>157</v>
      </c>
      <c r="C85" s="35" t="s">
        <v>875</v>
      </c>
      <c r="D85" t="s">
        <v>144</v>
      </c>
      <c r="E85" t="s">
        <v>144</v>
      </c>
      <c r="F85" t="s">
        <v>144</v>
      </c>
      <c r="G85" t="s">
        <v>144</v>
      </c>
      <c r="H85" t="s">
        <v>144</v>
      </c>
      <c r="I85" t="s">
        <v>144</v>
      </c>
      <c r="J85" t="s">
        <v>144</v>
      </c>
      <c r="K85" t="s">
        <v>144</v>
      </c>
      <c r="L85" t="s">
        <v>144</v>
      </c>
      <c r="M85" t="s">
        <v>144</v>
      </c>
      <c r="N85" t="s">
        <v>120</v>
      </c>
      <c r="O85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VALUES('AllAdmin','74010602','Y','Y','Y','Y','Y','Y','Y','Y','Y','Y','N','standard_ms');</v>
      </c>
      <c r="P85" t="s">
        <v>1084</v>
      </c>
    </row>
    <row r="86" spans="2:16" x14ac:dyDescent="0.4">
      <c r="B86" s="7" t="s">
        <v>157</v>
      </c>
      <c r="C86" s="35" t="s">
        <v>876</v>
      </c>
      <c r="D86" t="s">
        <v>144</v>
      </c>
      <c r="E86" t="s">
        <v>144</v>
      </c>
      <c r="F86" t="s">
        <v>144</v>
      </c>
      <c r="G86" t="s">
        <v>144</v>
      </c>
      <c r="H86" t="s">
        <v>144</v>
      </c>
      <c r="I86" t="s">
        <v>144</v>
      </c>
      <c r="J86" t="s">
        <v>144</v>
      </c>
      <c r="K86" t="s">
        <v>144</v>
      </c>
      <c r="L86" t="s">
        <v>144</v>
      </c>
      <c r="M86" t="s">
        <v>144</v>
      </c>
      <c r="N86" t="s">
        <v>120</v>
      </c>
      <c r="O86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VALUES('AllAdmin','74010603','Y','Y','Y','Y','Y','Y','Y','Y','Y','Y','N','standard_ms');</v>
      </c>
      <c r="P86" t="s">
        <v>1085</v>
      </c>
    </row>
    <row r="87" spans="2:16" x14ac:dyDescent="0.4">
      <c r="B87" s="7" t="s">
        <v>157</v>
      </c>
      <c r="C87" s="35" t="s">
        <v>884</v>
      </c>
      <c r="D87" t="s">
        <v>144</v>
      </c>
      <c r="E87" t="s">
        <v>144</v>
      </c>
      <c r="F87" t="s">
        <v>144</v>
      </c>
      <c r="G87" t="s">
        <v>144</v>
      </c>
      <c r="H87" t="s">
        <v>144</v>
      </c>
      <c r="I87" t="s">
        <v>144</v>
      </c>
      <c r="J87" t="s">
        <v>144</v>
      </c>
      <c r="K87" t="s">
        <v>144</v>
      </c>
      <c r="L87" t="s">
        <v>144</v>
      </c>
      <c r="M87" t="s">
        <v>144</v>
      </c>
      <c r="N87" t="s">
        <v>120</v>
      </c>
      <c r="O87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VALUES('AllAdmin','74010700','Y','Y','Y','Y','Y','Y','Y','Y','Y','Y','N','standard_ms');</v>
      </c>
      <c r="P87" t="s">
        <v>1086</v>
      </c>
    </row>
    <row r="88" spans="2:16" x14ac:dyDescent="0.4">
      <c r="B88" s="7" t="s">
        <v>157</v>
      </c>
      <c r="C88" s="35" t="s">
        <v>885</v>
      </c>
      <c r="D88" t="s">
        <v>144</v>
      </c>
      <c r="E88" t="s">
        <v>144</v>
      </c>
      <c r="F88" t="s">
        <v>144</v>
      </c>
      <c r="G88" t="s">
        <v>144</v>
      </c>
      <c r="H88" t="s">
        <v>144</v>
      </c>
      <c r="I88" t="s">
        <v>144</v>
      </c>
      <c r="J88" t="s">
        <v>144</v>
      </c>
      <c r="K88" t="s">
        <v>144</v>
      </c>
      <c r="L88" t="s">
        <v>144</v>
      </c>
      <c r="M88" t="s">
        <v>144</v>
      </c>
      <c r="N88" t="s">
        <v>120</v>
      </c>
      <c r="O88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VALUES('AllAdmin','74010701','Y','Y','Y','Y','Y','Y','Y','Y','Y','Y','N','standard_ms');</v>
      </c>
      <c r="P88" t="s">
        <v>1087</v>
      </c>
    </row>
    <row r="89" spans="2:16" x14ac:dyDescent="0.4">
      <c r="B89" s="7" t="s">
        <v>157</v>
      </c>
      <c r="C89" s="35" t="s">
        <v>886</v>
      </c>
      <c r="D89" t="s">
        <v>144</v>
      </c>
      <c r="E89" t="s">
        <v>144</v>
      </c>
      <c r="F89" t="s">
        <v>144</v>
      </c>
      <c r="G89" t="s">
        <v>144</v>
      </c>
      <c r="H89" t="s">
        <v>144</v>
      </c>
      <c r="I89" t="s">
        <v>144</v>
      </c>
      <c r="J89" t="s">
        <v>144</v>
      </c>
      <c r="K89" t="s">
        <v>144</v>
      </c>
      <c r="L89" t="s">
        <v>144</v>
      </c>
      <c r="M89" t="s">
        <v>144</v>
      </c>
      <c r="N89" t="s">
        <v>120</v>
      </c>
      <c r="O89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VALUES('AllAdmin','74010702','Y','Y','Y','Y','Y','Y','Y','Y','Y','Y','N','standard_ms');</v>
      </c>
      <c r="P89" t="s">
        <v>1088</v>
      </c>
    </row>
    <row r="90" spans="2:16" x14ac:dyDescent="0.4">
      <c r="B90" s="7" t="s">
        <v>157</v>
      </c>
      <c r="C90" s="35" t="s">
        <v>887</v>
      </c>
      <c r="D90" t="s">
        <v>144</v>
      </c>
      <c r="E90" t="s">
        <v>144</v>
      </c>
      <c r="F90" t="s">
        <v>144</v>
      </c>
      <c r="G90" t="s">
        <v>144</v>
      </c>
      <c r="H90" t="s">
        <v>144</v>
      </c>
      <c r="I90" t="s">
        <v>144</v>
      </c>
      <c r="J90" t="s">
        <v>144</v>
      </c>
      <c r="K90" t="s">
        <v>144</v>
      </c>
      <c r="L90" t="s">
        <v>144</v>
      </c>
      <c r="M90" t="s">
        <v>144</v>
      </c>
      <c r="N90" t="s">
        <v>120</v>
      </c>
      <c r="O90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VALUES('AllAdmin','74010703','Y','Y','Y','Y','Y','Y','Y','Y','Y','Y','N','standard_ms');</v>
      </c>
      <c r="P90" t="s">
        <v>1089</v>
      </c>
    </row>
    <row r="91" spans="2:16" x14ac:dyDescent="0.4">
      <c r="B91" s="7" t="s">
        <v>157</v>
      </c>
      <c r="C91" s="35" t="s">
        <v>888</v>
      </c>
      <c r="D91" t="s">
        <v>144</v>
      </c>
      <c r="E91" t="s">
        <v>144</v>
      </c>
      <c r="F91" t="s">
        <v>144</v>
      </c>
      <c r="G91" t="s">
        <v>144</v>
      </c>
      <c r="H91" t="s">
        <v>144</v>
      </c>
      <c r="I91" t="s">
        <v>144</v>
      </c>
      <c r="J91" t="s">
        <v>144</v>
      </c>
      <c r="K91" t="s">
        <v>144</v>
      </c>
      <c r="L91" t="s">
        <v>144</v>
      </c>
      <c r="M91" t="s">
        <v>144</v>
      </c>
      <c r="N91" t="s">
        <v>120</v>
      </c>
      <c r="O91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VALUES('AllAdmin','74010704','Y','Y','Y','Y','Y','Y','Y','Y','Y','Y','N','standard_ms');</v>
      </c>
      <c r="P91" t="s">
        <v>1090</v>
      </c>
    </row>
    <row r="92" spans="2:16" x14ac:dyDescent="0.4">
      <c r="B92" s="7" t="s">
        <v>157</v>
      </c>
      <c r="C92" s="35" t="s">
        <v>877</v>
      </c>
      <c r="D92" t="s">
        <v>144</v>
      </c>
      <c r="E92" t="s">
        <v>144</v>
      </c>
      <c r="F92" t="s">
        <v>144</v>
      </c>
      <c r="G92" t="s">
        <v>144</v>
      </c>
      <c r="H92" t="s">
        <v>144</v>
      </c>
      <c r="I92" t="s">
        <v>144</v>
      </c>
      <c r="J92" t="s">
        <v>144</v>
      </c>
      <c r="K92" t="s">
        <v>144</v>
      </c>
      <c r="L92" t="s">
        <v>144</v>
      </c>
      <c r="M92" t="s">
        <v>144</v>
      </c>
      <c r="N92" t="s">
        <v>120</v>
      </c>
      <c r="O92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VALUES('AllAdmin','74020000','Y','Y','Y','Y','Y','Y','Y','Y','Y','Y','N','standard_ms');</v>
      </c>
      <c r="P92" t="s">
        <v>1091</v>
      </c>
    </row>
    <row r="93" spans="2:16" x14ac:dyDescent="0.4">
      <c r="B93" s="7" t="s">
        <v>157</v>
      </c>
      <c r="C93" s="27" t="s">
        <v>878</v>
      </c>
      <c r="D93" t="s">
        <v>144</v>
      </c>
      <c r="E93" t="s">
        <v>144</v>
      </c>
      <c r="F93" t="s">
        <v>144</v>
      </c>
      <c r="G93" t="s">
        <v>144</v>
      </c>
      <c r="H93" t="s">
        <v>144</v>
      </c>
      <c r="I93" t="s">
        <v>144</v>
      </c>
      <c r="J93" t="s">
        <v>144</v>
      </c>
      <c r="K93" t="s">
        <v>144</v>
      </c>
      <c r="L93" t="s">
        <v>144</v>
      </c>
      <c r="M93" t="s">
        <v>144</v>
      </c>
      <c r="N93" t="s">
        <v>120</v>
      </c>
      <c r="O93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VALUES('AllAdmin','75000000','Y','Y','Y','Y','Y','Y','Y','Y','Y','Y','N','standard_ms');</v>
      </c>
      <c r="P93" t="s">
        <v>1092</v>
      </c>
    </row>
    <row r="94" spans="2:16" x14ac:dyDescent="0.4">
      <c r="B94" s="7" t="s">
        <v>157</v>
      </c>
      <c r="C94" s="27" t="s">
        <v>879</v>
      </c>
      <c r="D94" t="s">
        <v>144</v>
      </c>
      <c r="E94" t="s">
        <v>144</v>
      </c>
      <c r="F94" t="s">
        <v>144</v>
      </c>
      <c r="G94" t="s">
        <v>144</v>
      </c>
      <c r="H94" t="s">
        <v>144</v>
      </c>
      <c r="I94" t="s">
        <v>144</v>
      </c>
      <c r="J94" t="s">
        <v>144</v>
      </c>
      <c r="K94" t="s">
        <v>144</v>
      </c>
      <c r="L94" t="s">
        <v>144</v>
      </c>
      <c r="M94" t="s">
        <v>144</v>
      </c>
      <c r="N94" t="s">
        <v>120</v>
      </c>
      <c r="O94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VALUES('AllAdmin','75010000','Y','Y','Y','Y','Y','Y','Y','Y','Y','Y','N','standard_ms');</v>
      </c>
      <c r="P94" t="s">
        <v>1093</v>
      </c>
    </row>
    <row r="95" spans="2:16" x14ac:dyDescent="0.4">
      <c r="B95" s="7" t="s">
        <v>157</v>
      </c>
      <c r="C95" s="27" t="s">
        <v>880</v>
      </c>
      <c r="D95" t="s">
        <v>144</v>
      </c>
      <c r="E95" t="s">
        <v>144</v>
      </c>
      <c r="F95" t="s">
        <v>144</v>
      </c>
      <c r="G95" t="s">
        <v>144</v>
      </c>
      <c r="H95" t="s">
        <v>144</v>
      </c>
      <c r="I95" t="s">
        <v>144</v>
      </c>
      <c r="J95" t="s">
        <v>144</v>
      </c>
      <c r="K95" t="s">
        <v>144</v>
      </c>
      <c r="L95" t="s">
        <v>144</v>
      </c>
      <c r="M95" t="s">
        <v>144</v>
      </c>
      <c r="N95" t="s">
        <v>120</v>
      </c>
      <c r="O95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VALUES('AllAdmin','75020000','Y','Y','Y','Y','Y','Y','Y','Y','Y','Y','N','standard_ms');</v>
      </c>
      <c r="P95" t="s">
        <v>1094</v>
      </c>
    </row>
    <row r="96" spans="2:16" x14ac:dyDescent="0.4">
      <c r="B96" s="7" t="s">
        <v>157</v>
      </c>
      <c r="C96" s="27" t="s">
        <v>881</v>
      </c>
      <c r="D96" t="s">
        <v>144</v>
      </c>
      <c r="E96" t="s">
        <v>144</v>
      </c>
      <c r="F96" t="s">
        <v>144</v>
      </c>
      <c r="G96" t="s">
        <v>144</v>
      </c>
      <c r="H96" t="s">
        <v>144</v>
      </c>
      <c r="I96" t="s">
        <v>144</v>
      </c>
      <c r="J96" t="s">
        <v>144</v>
      </c>
      <c r="K96" t="s">
        <v>144</v>
      </c>
      <c r="L96" t="s">
        <v>144</v>
      </c>
      <c r="M96" t="s">
        <v>144</v>
      </c>
      <c r="N96" t="s">
        <v>120</v>
      </c>
      <c r="O96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VALUES('AllAdmin','75030000','Y','Y','Y','Y','Y','Y','Y','Y','Y','Y','N','standard_ms');</v>
      </c>
      <c r="P96" t="s">
        <v>1095</v>
      </c>
    </row>
    <row r="97" spans="2:16" x14ac:dyDescent="0.4">
      <c r="B97" s="7" t="s">
        <v>157</v>
      </c>
      <c r="C97" s="35" t="s">
        <v>882</v>
      </c>
      <c r="D97" t="s">
        <v>144</v>
      </c>
      <c r="E97" t="s">
        <v>144</v>
      </c>
      <c r="F97" t="s">
        <v>144</v>
      </c>
      <c r="G97" t="s">
        <v>144</v>
      </c>
      <c r="H97" t="s">
        <v>144</v>
      </c>
      <c r="I97" t="s">
        <v>144</v>
      </c>
      <c r="J97" t="s">
        <v>144</v>
      </c>
      <c r="K97" t="s">
        <v>144</v>
      </c>
      <c r="L97" t="s">
        <v>144</v>
      </c>
      <c r="M97" t="s">
        <v>144</v>
      </c>
      <c r="N97" t="s">
        <v>120</v>
      </c>
      <c r="O97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VALUES('AllAdmin','76000000','Y','Y','Y','Y','Y','Y','Y','Y','Y','Y','N','standard_ms');</v>
      </c>
      <c r="P97" t="s">
        <v>1096</v>
      </c>
    </row>
    <row r="98" spans="2:16" x14ac:dyDescent="0.4">
      <c r="B98" s="7" t="s">
        <v>157</v>
      </c>
      <c r="C98" s="30" t="s">
        <v>883</v>
      </c>
      <c r="D98" t="s">
        <v>144</v>
      </c>
      <c r="E98" t="s">
        <v>144</v>
      </c>
      <c r="F98" t="s">
        <v>144</v>
      </c>
      <c r="G98" t="s">
        <v>144</v>
      </c>
      <c r="H98" t="s">
        <v>144</v>
      </c>
      <c r="I98" t="s">
        <v>144</v>
      </c>
      <c r="J98" t="s">
        <v>144</v>
      </c>
      <c r="K98" t="s">
        <v>144</v>
      </c>
      <c r="L98" t="s">
        <v>144</v>
      </c>
      <c r="M98" t="s">
        <v>144</v>
      </c>
      <c r="N98" t="s">
        <v>120</v>
      </c>
      <c r="O98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VALUES('AllAdmin','77000000','Y','Y','Y','Y','Y','Y','Y','Y','Y','Y','N','standard_ms');</v>
      </c>
      <c r="P98" t="s">
        <v>1097</v>
      </c>
    </row>
    <row r="99" spans="2:16" x14ac:dyDescent="0.4">
      <c r="B99" s="7" t="s">
        <v>157</v>
      </c>
      <c r="C99" s="30" t="s">
        <v>773</v>
      </c>
      <c r="D99" t="s">
        <v>144</v>
      </c>
      <c r="E99" t="s">
        <v>144</v>
      </c>
      <c r="F99" t="s">
        <v>144</v>
      </c>
      <c r="G99" t="s">
        <v>144</v>
      </c>
      <c r="H99" t="s">
        <v>144</v>
      </c>
      <c r="I99" t="s">
        <v>144</v>
      </c>
      <c r="J99" t="s">
        <v>144</v>
      </c>
      <c r="K99" t="s">
        <v>144</v>
      </c>
      <c r="L99" t="s">
        <v>144</v>
      </c>
      <c r="M99" t="s">
        <v>144</v>
      </c>
      <c r="N99" t="s">
        <v>120</v>
      </c>
      <c r="O99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VALUES('AllAdmin','01000000','Y','Y','Y','Y','Y','Y','Y','Y','Y','Y','N','standard_ms');</v>
      </c>
      <c r="P99" t="s">
        <v>1098</v>
      </c>
    </row>
    <row r="100" spans="2:16" x14ac:dyDescent="0.4">
      <c r="B100" s="7" t="s">
        <v>157</v>
      </c>
      <c r="C100" s="30" t="s">
        <v>774</v>
      </c>
      <c r="D100" t="s">
        <v>144</v>
      </c>
      <c r="E100" t="s">
        <v>144</v>
      </c>
      <c r="F100" t="s">
        <v>144</v>
      </c>
      <c r="G100" t="s">
        <v>144</v>
      </c>
      <c r="H100" t="s">
        <v>144</v>
      </c>
      <c r="I100" t="s">
        <v>144</v>
      </c>
      <c r="J100" t="s">
        <v>144</v>
      </c>
      <c r="K100" t="s">
        <v>144</v>
      </c>
      <c r="L100" t="s">
        <v>144</v>
      </c>
      <c r="M100" t="s">
        <v>144</v>
      </c>
      <c r="N100" t="s">
        <v>120</v>
      </c>
      <c r="O100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VALUES('AllAdmin','01010000','Y','Y','Y','Y','Y','Y','Y','Y','Y','Y','N','standard_ms');</v>
      </c>
      <c r="P100" t="s">
        <v>1099</v>
      </c>
    </row>
    <row r="101" spans="2:16" x14ac:dyDescent="0.4">
      <c r="B101" s="7" t="s">
        <v>157</v>
      </c>
      <c r="C101" s="30" t="s">
        <v>775</v>
      </c>
      <c r="D101" t="s">
        <v>144</v>
      </c>
      <c r="E101" t="s">
        <v>144</v>
      </c>
      <c r="F101" t="s">
        <v>144</v>
      </c>
      <c r="G101" t="s">
        <v>144</v>
      </c>
      <c r="H101" t="s">
        <v>144</v>
      </c>
      <c r="I101" t="s">
        <v>144</v>
      </c>
      <c r="J101" t="s">
        <v>144</v>
      </c>
      <c r="K101" t="s">
        <v>144</v>
      </c>
      <c r="L101" t="s">
        <v>144</v>
      </c>
      <c r="M101" t="s">
        <v>144</v>
      </c>
      <c r="N101" t="s">
        <v>120</v>
      </c>
      <c r="O101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VALUES('AllAdmin','01020000','Y','Y','Y','Y','Y','Y','Y','Y','Y','Y','N','standard_ms');</v>
      </c>
      <c r="P101" t="s">
        <v>1100</v>
      </c>
    </row>
    <row r="102" spans="2:16" x14ac:dyDescent="0.4">
      <c r="B102" s="7" t="s">
        <v>157</v>
      </c>
      <c r="C102" s="30" t="s">
        <v>776</v>
      </c>
      <c r="D102" t="s">
        <v>144</v>
      </c>
      <c r="E102" t="s">
        <v>144</v>
      </c>
      <c r="F102" t="s">
        <v>144</v>
      </c>
      <c r="G102" t="s">
        <v>144</v>
      </c>
      <c r="H102" t="s">
        <v>144</v>
      </c>
      <c r="I102" t="s">
        <v>144</v>
      </c>
      <c r="J102" t="s">
        <v>144</v>
      </c>
      <c r="K102" t="s">
        <v>144</v>
      </c>
      <c r="L102" t="s">
        <v>144</v>
      </c>
      <c r="M102" t="s">
        <v>144</v>
      </c>
      <c r="N102" t="s">
        <v>120</v>
      </c>
      <c r="O102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VALUES('AllAdmin','02000000','Y','Y','Y','Y','Y','Y','Y','Y','Y','Y','N','standard_ms');</v>
      </c>
      <c r="P102" t="s">
        <v>1101</v>
      </c>
    </row>
    <row r="103" spans="2:16" x14ac:dyDescent="0.4">
      <c r="B103" s="7" t="s">
        <v>157</v>
      </c>
      <c r="C103" s="30" t="s">
        <v>777</v>
      </c>
      <c r="D103" t="s">
        <v>144</v>
      </c>
      <c r="E103" t="s">
        <v>144</v>
      </c>
      <c r="F103" t="s">
        <v>144</v>
      </c>
      <c r="G103" t="s">
        <v>144</v>
      </c>
      <c r="H103" t="s">
        <v>144</v>
      </c>
      <c r="I103" t="s">
        <v>144</v>
      </c>
      <c r="J103" t="s">
        <v>144</v>
      </c>
      <c r="K103" t="s">
        <v>144</v>
      </c>
      <c r="L103" t="s">
        <v>144</v>
      </c>
      <c r="M103" t="s">
        <v>144</v>
      </c>
      <c r="N103" t="s">
        <v>120</v>
      </c>
      <c r="O103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VALUES('AllAdmin','02010000','Y','Y','Y','Y','Y','Y','Y','Y','Y','Y','N','standard_ms');</v>
      </c>
      <c r="P103" t="s">
        <v>1102</v>
      </c>
    </row>
    <row r="104" spans="2:16" x14ac:dyDescent="0.4">
      <c r="B104" s="7" t="s">
        <v>157</v>
      </c>
      <c r="C104" s="30" t="s">
        <v>778</v>
      </c>
      <c r="D104" t="s">
        <v>144</v>
      </c>
      <c r="E104" t="s">
        <v>144</v>
      </c>
      <c r="F104" t="s">
        <v>144</v>
      </c>
      <c r="G104" t="s">
        <v>144</v>
      </c>
      <c r="H104" t="s">
        <v>144</v>
      </c>
      <c r="I104" t="s">
        <v>144</v>
      </c>
      <c r="J104" t="s">
        <v>144</v>
      </c>
      <c r="K104" t="s">
        <v>144</v>
      </c>
      <c r="L104" t="s">
        <v>144</v>
      </c>
      <c r="M104" t="s">
        <v>144</v>
      </c>
      <c r="N104" t="s">
        <v>120</v>
      </c>
      <c r="O104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VALUES('AllAdmin','02010100','Y','Y','Y','Y','Y','Y','Y','Y','Y','Y','N','standard_ms');</v>
      </c>
      <c r="P104" t="s">
        <v>1103</v>
      </c>
    </row>
    <row r="105" spans="2:16" x14ac:dyDescent="0.4">
      <c r="B105" s="7" t="s">
        <v>157</v>
      </c>
      <c r="C105" s="30" t="s">
        <v>779</v>
      </c>
      <c r="D105" t="s">
        <v>144</v>
      </c>
      <c r="E105" t="s">
        <v>144</v>
      </c>
      <c r="F105" t="s">
        <v>144</v>
      </c>
      <c r="G105" t="s">
        <v>144</v>
      </c>
      <c r="H105" t="s">
        <v>144</v>
      </c>
      <c r="I105" t="s">
        <v>144</v>
      </c>
      <c r="J105" t="s">
        <v>144</v>
      </c>
      <c r="K105" t="s">
        <v>144</v>
      </c>
      <c r="L105" t="s">
        <v>144</v>
      </c>
      <c r="M105" t="s">
        <v>144</v>
      </c>
      <c r="N105" t="s">
        <v>120</v>
      </c>
      <c r="O105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VALUES('AllAdmin','02010200','Y','Y','Y','Y','Y','Y','Y','Y','Y','Y','N','standard_ms');</v>
      </c>
      <c r="P105" t="s">
        <v>1104</v>
      </c>
    </row>
    <row r="106" spans="2:16" x14ac:dyDescent="0.4">
      <c r="B106" s="7" t="s">
        <v>157</v>
      </c>
      <c r="C106" s="30" t="s">
        <v>780</v>
      </c>
      <c r="D106" t="s">
        <v>144</v>
      </c>
      <c r="E106" t="s">
        <v>144</v>
      </c>
      <c r="F106" t="s">
        <v>144</v>
      </c>
      <c r="G106" t="s">
        <v>144</v>
      </c>
      <c r="H106" t="s">
        <v>144</v>
      </c>
      <c r="I106" t="s">
        <v>144</v>
      </c>
      <c r="J106" t="s">
        <v>144</v>
      </c>
      <c r="K106" t="s">
        <v>144</v>
      </c>
      <c r="L106" t="s">
        <v>144</v>
      </c>
      <c r="M106" t="s">
        <v>144</v>
      </c>
      <c r="N106" t="s">
        <v>120</v>
      </c>
      <c r="O106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VALUES('AllAdmin','02020000','Y','Y','Y','Y','Y','Y','Y','Y','Y','Y','N','standard_ms');</v>
      </c>
      <c r="P106" t="s">
        <v>1105</v>
      </c>
    </row>
    <row r="107" spans="2:16" x14ac:dyDescent="0.4">
      <c r="B107" s="7" t="s">
        <v>157</v>
      </c>
      <c r="C107" s="30" t="s">
        <v>781</v>
      </c>
      <c r="D107" t="s">
        <v>144</v>
      </c>
      <c r="E107" t="s">
        <v>144</v>
      </c>
      <c r="F107" t="s">
        <v>144</v>
      </c>
      <c r="G107" t="s">
        <v>144</v>
      </c>
      <c r="H107" t="s">
        <v>144</v>
      </c>
      <c r="I107" t="s">
        <v>144</v>
      </c>
      <c r="J107" t="s">
        <v>144</v>
      </c>
      <c r="K107" t="s">
        <v>144</v>
      </c>
      <c r="L107" t="s">
        <v>144</v>
      </c>
      <c r="M107" t="s">
        <v>144</v>
      </c>
      <c r="N107" t="s">
        <v>120</v>
      </c>
      <c r="O107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VALUES('AllAdmin','02020100','Y','Y','Y','Y','Y','Y','Y','Y','Y','Y','N','standard_ms');</v>
      </c>
      <c r="P107" t="s">
        <v>1106</v>
      </c>
    </row>
    <row r="108" spans="2:16" x14ac:dyDescent="0.4">
      <c r="B108" s="7" t="s">
        <v>157</v>
      </c>
      <c r="C108" s="30" t="s">
        <v>782</v>
      </c>
      <c r="D108" t="s">
        <v>144</v>
      </c>
      <c r="E108" t="s">
        <v>144</v>
      </c>
      <c r="F108" t="s">
        <v>144</v>
      </c>
      <c r="G108" t="s">
        <v>144</v>
      </c>
      <c r="H108" t="s">
        <v>144</v>
      </c>
      <c r="I108" t="s">
        <v>144</v>
      </c>
      <c r="J108" t="s">
        <v>144</v>
      </c>
      <c r="K108" t="s">
        <v>144</v>
      </c>
      <c r="L108" t="s">
        <v>144</v>
      </c>
      <c r="M108" t="s">
        <v>144</v>
      </c>
      <c r="N108" t="s">
        <v>120</v>
      </c>
      <c r="O108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VALUES('AllAdmin','02020200','Y','Y','Y','Y','Y','Y','Y','Y','Y','Y','N','standard_ms');</v>
      </c>
      <c r="P108" t="s">
        <v>1107</v>
      </c>
    </row>
    <row r="109" spans="2:16" x14ac:dyDescent="0.4">
      <c r="B109" s="7" t="s">
        <v>157</v>
      </c>
      <c r="C109" s="30" t="s">
        <v>783</v>
      </c>
      <c r="D109" t="s">
        <v>144</v>
      </c>
      <c r="E109" t="s">
        <v>144</v>
      </c>
      <c r="F109" t="s">
        <v>144</v>
      </c>
      <c r="G109" t="s">
        <v>144</v>
      </c>
      <c r="H109" t="s">
        <v>144</v>
      </c>
      <c r="I109" t="s">
        <v>144</v>
      </c>
      <c r="J109" t="s">
        <v>144</v>
      </c>
      <c r="K109" t="s">
        <v>144</v>
      </c>
      <c r="L109" t="s">
        <v>144</v>
      </c>
      <c r="M109" t="s">
        <v>144</v>
      </c>
      <c r="N109" t="s">
        <v>120</v>
      </c>
      <c r="O109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VALUES('AllAdmin','02030000','Y','Y','Y','Y','Y','Y','Y','Y','Y','Y','N','standard_ms');</v>
      </c>
      <c r="P109" t="s">
        <v>1108</v>
      </c>
    </row>
    <row r="110" spans="2:16" x14ac:dyDescent="0.4">
      <c r="B110" s="7" t="s">
        <v>157</v>
      </c>
      <c r="C110" s="30" t="s">
        <v>784</v>
      </c>
      <c r="D110" t="s">
        <v>144</v>
      </c>
      <c r="E110" t="s">
        <v>144</v>
      </c>
      <c r="F110" t="s">
        <v>144</v>
      </c>
      <c r="G110" t="s">
        <v>144</v>
      </c>
      <c r="H110" t="s">
        <v>144</v>
      </c>
      <c r="I110" t="s">
        <v>144</v>
      </c>
      <c r="J110" t="s">
        <v>144</v>
      </c>
      <c r="K110" t="s">
        <v>144</v>
      </c>
      <c r="L110" t="s">
        <v>144</v>
      </c>
      <c r="M110" t="s">
        <v>144</v>
      </c>
      <c r="N110" t="s">
        <v>120</v>
      </c>
      <c r="O110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VALUES('AllAdmin','02030100','Y','Y','Y','Y','Y','Y','Y','Y','Y','Y','N','standard_ms');</v>
      </c>
      <c r="P110" t="s">
        <v>1109</v>
      </c>
    </row>
    <row r="111" spans="2:16" x14ac:dyDescent="0.4">
      <c r="B111" s="7" t="s">
        <v>157</v>
      </c>
      <c r="C111" s="30" t="s">
        <v>785</v>
      </c>
      <c r="D111" t="s">
        <v>144</v>
      </c>
      <c r="E111" t="s">
        <v>144</v>
      </c>
      <c r="F111" t="s">
        <v>144</v>
      </c>
      <c r="G111" t="s">
        <v>144</v>
      </c>
      <c r="H111" t="s">
        <v>144</v>
      </c>
      <c r="I111" t="s">
        <v>144</v>
      </c>
      <c r="J111" t="s">
        <v>144</v>
      </c>
      <c r="K111" t="s">
        <v>144</v>
      </c>
      <c r="L111" t="s">
        <v>144</v>
      </c>
      <c r="M111" t="s">
        <v>144</v>
      </c>
      <c r="N111" t="s">
        <v>120</v>
      </c>
      <c r="O111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VALUES('AllAdmin','02030200','Y','Y','Y','Y','Y','Y','Y','Y','Y','Y','N','standard_ms');</v>
      </c>
      <c r="P111" t="s">
        <v>1110</v>
      </c>
    </row>
    <row r="112" spans="2:16" x14ac:dyDescent="0.4">
      <c r="B112" s="7" t="s">
        <v>157</v>
      </c>
      <c r="C112" s="30" t="s">
        <v>786</v>
      </c>
      <c r="D112" t="s">
        <v>144</v>
      </c>
      <c r="E112" t="s">
        <v>144</v>
      </c>
      <c r="F112" t="s">
        <v>144</v>
      </c>
      <c r="G112" t="s">
        <v>144</v>
      </c>
      <c r="H112" t="s">
        <v>144</v>
      </c>
      <c r="I112" t="s">
        <v>144</v>
      </c>
      <c r="J112" t="s">
        <v>144</v>
      </c>
      <c r="K112" t="s">
        <v>144</v>
      </c>
      <c r="L112" t="s">
        <v>144</v>
      </c>
      <c r="M112" t="s">
        <v>144</v>
      </c>
      <c r="N112" t="s">
        <v>120</v>
      </c>
      <c r="O112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VALUES('AllAdmin','02040000','Y','Y','Y','Y','Y','Y','Y','Y','Y','Y','N','standard_ms');</v>
      </c>
      <c r="P112" t="s">
        <v>1111</v>
      </c>
    </row>
    <row r="113" spans="2:16" x14ac:dyDescent="0.4">
      <c r="B113" s="7" t="s">
        <v>157</v>
      </c>
      <c r="C113" s="30" t="s">
        <v>787</v>
      </c>
      <c r="D113" t="s">
        <v>144</v>
      </c>
      <c r="E113" t="s">
        <v>144</v>
      </c>
      <c r="F113" t="s">
        <v>144</v>
      </c>
      <c r="G113" t="s">
        <v>144</v>
      </c>
      <c r="H113" t="s">
        <v>144</v>
      </c>
      <c r="I113" t="s">
        <v>144</v>
      </c>
      <c r="J113" t="s">
        <v>144</v>
      </c>
      <c r="K113" t="s">
        <v>144</v>
      </c>
      <c r="L113" t="s">
        <v>144</v>
      </c>
      <c r="M113" t="s">
        <v>144</v>
      </c>
      <c r="N113" t="s">
        <v>120</v>
      </c>
      <c r="O113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VALUES('AllAdmin','02040100','Y','Y','Y','Y','Y','Y','Y','Y','Y','Y','N','standard_ms');</v>
      </c>
      <c r="P113" t="s">
        <v>1112</v>
      </c>
    </row>
    <row r="114" spans="2:16" x14ac:dyDescent="0.4">
      <c r="B114" s="7" t="s">
        <v>157</v>
      </c>
      <c r="C114" s="30" t="s">
        <v>788</v>
      </c>
      <c r="D114" t="s">
        <v>144</v>
      </c>
      <c r="E114" t="s">
        <v>144</v>
      </c>
      <c r="F114" t="s">
        <v>144</v>
      </c>
      <c r="G114" t="s">
        <v>144</v>
      </c>
      <c r="H114" t="s">
        <v>144</v>
      </c>
      <c r="I114" t="s">
        <v>144</v>
      </c>
      <c r="J114" t="s">
        <v>144</v>
      </c>
      <c r="K114" t="s">
        <v>144</v>
      </c>
      <c r="L114" t="s">
        <v>144</v>
      </c>
      <c r="M114" t="s">
        <v>144</v>
      </c>
      <c r="N114" t="s">
        <v>120</v>
      </c>
      <c r="O114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VALUES('AllAdmin','02040200','Y','Y','Y','Y','Y','Y','Y','Y','Y','Y','N','standard_ms');</v>
      </c>
      <c r="P114" t="s">
        <v>1113</v>
      </c>
    </row>
    <row r="115" spans="2:16" x14ac:dyDescent="0.4">
      <c r="B115" s="7" t="s">
        <v>157</v>
      </c>
      <c r="C115" s="30" t="s">
        <v>789</v>
      </c>
      <c r="D115" t="s">
        <v>144</v>
      </c>
      <c r="E115" t="s">
        <v>144</v>
      </c>
      <c r="F115" t="s">
        <v>144</v>
      </c>
      <c r="G115" t="s">
        <v>144</v>
      </c>
      <c r="H115" t="s">
        <v>144</v>
      </c>
      <c r="I115" t="s">
        <v>144</v>
      </c>
      <c r="J115" t="s">
        <v>144</v>
      </c>
      <c r="K115" t="s">
        <v>144</v>
      </c>
      <c r="L115" t="s">
        <v>144</v>
      </c>
      <c r="M115" t="s">
        <v>144</v>
      </c>
      <c r="N115" t="s">
        <v>120</v>
      </c>
      <c r="O115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VALUES('AllAdmin','02050000','Y','Y','Y','Y','Y','Y','Y','Y','Y','Y','N','standard_ms');</v>
      </c>
      <c r="P115" t="s">
        <v>1114</v>
      </c>
    </row>
    <row r="116" spans="2:16" x14ac:dyDescent="0.4">
      <c r="B116" s="7" t="s">
        <v>157</v>
      </c>
      <c r="C116" s="30" t="s">
        <v>790</v>
      </c>
      <c r="D116" t="s">
        <v>144</v>
      </c>
      <c r="E116" t="s">
        <v>144</v>
      </c>
      <c r="F116" t="s">
        <v>144</v>
      </c>
      <c r="G116" t="s">
        <v>144</v>
      </c>
      <c r="H116" t="s">
        <v>144</v>
      </c>
      <c r="I116" t="s">
        <v>144</v>
      </c>
      <c r="J116" t="s">
        <v>144</v>
      </c>
      <c r="K116" t="s">
        <v>144</v>
      </c>
      <c r="L116" t="s">
        <v>144</v>
      </c>
      <c r="M116" t="s">
        <v>144</v>
      </c>
      <c r="N116" t="s">
        <v>120</v>
      </c>
      <c r="O116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VALUES('AllAdmin','02050100','Y','Y','Y','Y','Y','Y','Y','Y','Y','Y','N','standard_ms');</v>
      </c>
      <c r="P116" t="s">
        <v>1115</v>
      </c>
    </row>
    <row r="117" spans="2:16" x14ac:dyDescent="0.4">
      <c r="B117" s="7" t="s">
        <v>157</v>
      </c>
      <c r="C117" s="30" t="s">
        <v>791</v>
      </c>
      <c r="D117" t="s">
        <v>144</v>
      </c>
      <c r="E117" t="s">
        <v>144</v>
      </c>
      <c r="F117" t="s">
        <v>144</v>
      </c>
      <c r="G117" t="s">
        <v>144</v>
      </c>
      <c r="H117" t="s">
        <v>144</v>
      </c>
      <c r="I117" t="s">
        <v>144</v>
      </c>
      <c r="J117" t="s">
        <v>144</v>
      </c>
      <c r="K117" t="s">
        <v>144</v>
      </c>
      <c r="L117" t="s">
        <v>144</v>
      </c>
      <c r="M117" t="s">
        <v>144</v>
      </c>
      <c r="N117" t="s">
        <v>120</v>
      </c>
      <c r="O117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VALUES('AllAdmin','02050200','Y','Y','Y','Y','Y','Y','Y','Y','Y','Y','N','standard_ms');</v>
      </c>
      <c r="P117" t="s">
        <v>1116</v>
      </c>
    </row>
    <row r="118" spans="2:16" x14ac:dyDescent="0.4">
      <c r="B118" s="7" t="s">
        <v>157</v>
      </c>
      <c r="C118" s="30" t="s">
        <v>792</v>
      </c>
      <c r="D118" t="s">
        <v>144</v>
      </c>
      <c r="E118" t="s">
        <v>144</v>
      </c>
      <c r="F118" t="s">
        <v>144</v>
      </c>
      <c r="G118" t="s">
        <v>144</v>
      </c>
      <c r="H118" t="s">
        <v>144</v>
      </c>
      <c r="I118" t="s">
        <v>144</v>
      </c>
      <c r="J118" t="s">
        <v>144</v>
      </c>
      <c r="K118" t="s">
        <v>144</v>
      </c>
      <c r="L118" t="s">
        <v>144</v>
      </c>
      <c r="M118" t="s">
        <v>144</v>
      </c>
      <c r="N118" t="s">
        <v>120</v>
      </c>
      <c r="O118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VALUES('AllAdmin','02060000','Y','Y','Y','Y','Y','Y','Y','Y','Y','Y','N','standard_ms');</v>
      </c>
      <c r="P118" t="s">
        <v>1117</v>
      </c>
    </row>
    <row r="119" spans="2:16" x14ac:dyDescent="0.4">
      <c r="B119" s="7" t="s">
        <v>157</v>
      </c>
      <c r="C119" s="30" t="s">
        <v>793</v>
      </c>
      <c r="D119" t="s">
        <v>144</v>
      </c>
      <c r="E119" t="s">
        <v>144</v>
      </c>
      <c r="F119" t="s">
        <v>144</v>
      </c>
      <c r="G119" t="s">
        <v>144</v>
      </c>
      <c r="H119" t="s">
        <v>144</v>
      </c>
      <c r="I119" t="s">
        <v>144</v>
      </c>
      <c r="J119" t="s">
        <v>144</v>
      </c>
      <c r="K119" t="s">
        <v>144</v>
      </c>
      <c r="L119" t="s">
        <v>144</v>
      </c>
      <c r="M119" t="s">
        <v>144</v>
      </c>
      <c r="N119" t="s">
        <v>120</v>
      </c>
      <c r="O119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VALUES('AllAdmin','02060100','Y','Y','Y','Y','Y','Y','Y','Y','Y','Y','N','standard_ms');</v>
      </c>
      <c r="P119" t="s">
        <v>1118</v>
      </c>
    </row>
    <row r="120" spans="2:16" x14ac:dyDescent="0.4">
      <c r="B120" s="7" t="s">
        <v>157</v>
      </c>
      <c r="C120" s="30" t="s">
        <v>794</v>
      </c>
      <c r="D120" t="s">
        <v>144</v>
      </c>
      <c r="E120" t="s">
        <v>144</v>
      </c>
      <c r="F120" t="s">
        <v>144</v>
      </c>
      <c r="G120" t="s">
        <v>144</v>
      </c>
      <c r="H120" t="s">
        <v>144</v>
      </c>
      <c r="I120" t="s">
        <v>144</v>
      </c>
      <c r="J120" t="s">
        <v>144</v>
      </c>
      <c r="K120" t="s">
        <v>144</v>
      </c>
      <c r="L120" t="s">
        <v>144</v>
      </c>
      <c r="M120" t="s">
        <v>144</v>
      </c>
      <c r="N120" t="s">
        <v>120</v>
      </c>
      <c r="O120" s="23" t="str">
        <f t="shared" si="1"/>
        <v>INSERT INTO STB_M_MENU_AUTH_MNG (AUTH_ID, MENU_CD, READ_YN, WRITE_YN, UPDATE_YN, DELETE_YN, POPUP_OPEN_YN, POPUP_READ_YN, POPUP_WRITE_YN, POPUP_UPDATE_YN, POPUP_DELETE_YN, USE_YN, IS_DEL_ABLE , REG_USER ) VALUES('AllAdmin','02060200','Y','Y','Y','Y','Y','Y','Y','Y','Y','Y','N','standard_ms');</v>
      </c>
      <c r="P120" t="s">
        <v>1119</v>
      </c>
    </row>
  </sheetData>
  <mergeCells count="2">
    <mergeCell ref="O1:O3"/>
    <mergeCell ref="P1:P3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55C7-2882-41D6-905C-DEEF332E4081}">
  <dimension ref="A1:S11"/>
  <sheetViews>
    <sheetView workbookViewId="0">
      <selection activeCell="D15" sqref="D15"/>
    </sheetView>
  </sheetViews>
  <sheetFormatPr defaultRowHeight="17.399999999999999" x14ac:dyDescent="0.4"/>
  <cols>
    <col min="1" max="1" width="14" customWidth="1"/>
    <col min="2" max="2" width="11.69921875" bestFit="1" customWidth="1"/>
    <col min="3" max="3" width="15.59765625" customWidth="1"/>
    <col min="4" max="4" width="14.3984375" bestFit="1" customWidth="1"/>
    <col min="5" max="5" width="28.19921875" bestFit="1" customWidth="1"/>
    <col min="7" max="7" width="8.69921875" customWidth="1"/>
    <col min="8" max="17" width="0" hidden="1" customWidth="1"/>
    <col min="18" max="18" width="11.69921875" customWidth="1"/>
  </cols>
  <sheetData>
    <row r="1" spans="1:19" x14ac:dyDescent="0.4">
      <c r="A1" s="3" t="s">
        <v>43</v>
      </c>
      <c r="B1" s="16" t="s">
        <v>145</v>
      </c>
      <c r="C1" s="16" t="s">
        <v>49</v>
      </c>
      <c r="D1" s="16" t="s">
        <v>49</v>
      </c>
      <c r="E1" s="3" t="s">
        <v>152</v>
      </c>
      <c r="F1" s="3" t="s">
        <v>155</v>
      </c>
      <c r="G1" s="3" t="s">
        <v>155</v>
      </c>
      <c r="H1" s="3" t="s">
        <v>48</v>
      </c>
      <c r="I1" s="3" t="s">
        <v>48</v>
      </c>
      <c r="J1" s="3" t="s">
        <v>47</v>
      </c>
      <c r="K1" s="3" t="s">
        <v>47</v>
      </c>
      <c r="L1" s="3" t="s">
        <v>47</v>
      </c>
      <c r="M1" s="3" t="s">
        <v>47</v>
      </c>
      <c r="N1" s="3" t="s">
        <v>47</v>
      </c>
      <c r="O1" s="3" t="s">
        <v>47</v>
      </c>
      <c r="P1" s="3" t="s">
        <v>47</v>
      </c>
      <c r="Q1" s="3" t="s">
        <v>47</v>
      </c>
      <c r="R1" s="31" t="s">
        <v>219</v>
      </c>
      <c r="S1" s="32" t="s">
        <v>218</v>
      </c>
    </row>
    <row r="2" spans="1:19" x14ac:dyDescent="0.4">
      <c r="A2" s="1" t="s">
        <v>5</v>
      </c>
      <c r="B2" s="1" t="s">
        <v>146</v>
      </c>
      <c r="C2" s="5" t="s">
        <v>148</v>
      </c>
      <c r="D2" s="5" t="s">
        <v>149</v>
      </c>
      <c r="E2" s="1" t="s">
        <v>153</v>
      </c>
      <c r="F2" s="1" t="s">
        <v>11</v>
      </c>
      <c r="G2" s="1" t="s">
        <v>156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31"/>
      <c r="S2" s="33"/>
    </row>
    <row r="3" spans="1:19" x14ac:dyDescent="0.4">
      <c r="A3" s="2" t="s">
        <v>6</v>
      </c>
      <c r="B3" s="2" t="s">
        <v>147</v>
      </c>
      <c r="C3" s="9" t="s">
        <v>150</v>
      </c>
      <c r="D3" s="9" t="s">
        <v>151</v>
      </c>
      <c r="E3" s="2" t="s">
        <v>154</v>
      </c>
      <c r="F3" s="2" t="s">
        <v>12</v>
      </c>
      <c r="G3" s="2" t="s">
        <v>22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31"/>
      <c r="S3" s="33"/>
    </row>
    <row r="4" spans="1:19" x14ac:dyDescent="0.4">
      <c r="B4" t="s">
        <v>157</v>
      </c>
      <c r="C4" t="s">
        <v>158</v>
      </c>
      <c r="E4" t="s">
        <v>161</v>
      </c>
      <c r="F4" t="s">
        <v>180</v>
      </c>
      <c r="G4" t="s">
        <v>181</v>
      </c>
      <c r="R4" t="str">
        <f>"INSERT INTO STB_B_AUTH_MNG (AUTH_ID, AUTH_KOR_NAME, AUTH_COMMENT, USE_YN, IS_DEL_ABLE) VALUES('"&amp;B4&amp;"','"&amp;C4&amp;"','"&amp;E4&amp;"','"&amp;F4&amp;"','"&amp;G4&amp;"');"</f>
        <v>INSERT INTO STB_B_AUTH_MNG (AUTH_ID, AUTH_KOR_NAME, AUTH_COMMENT, USE_YN, IS_DEL_ABLE) VALUES('AllAdmin','전체관리자','시스템 전체관리자 ','Y','N');</v>
      </c>
      <c r="S4" t="s">
        <v>227</v>
      </c>
    </row>
    <row r="5" spans="1:19" x14ac:dyDescent="0.4">
      <c r="B5" t="s">
        <v>159</v>
      </c>
      <c r="C5" t="s">
        <v>160</v>
      </c>
      <c r="E5" t="s">
        <v>162</v>
      </c>
      <c r="F5" t="s">
        <v>180</v>
      </c>
      <c r="G5" t="s">
        <v>120</v>
      </c>
      <c r="R5" t="str">
        <f t="shared" ref="R5:R11" si="0">"INSERT INTO STB_B_AUTH_MNG (AUTH_ID, AUTH_KOR_NAME, AUTH_COMMENT, USE_YN, IS_DEL_ABLE) VALUES('"&amp;B5&amp;"','"&amp;C5&amp;"','"&amp;E5&amp;"','"&amp;F5&amp;"','"&amp;G5&amp;"');"</f>
        <v>INSERT INTO STB_B_AUTH_MNG (AUTH_ID, AUTH_KOR_NAME, AUTH_COMMENT, USE_YN, IS_DEL_ABLE) VALUES('Operator','시스템운영자','시스템 운영자','Y','N');</v>
      </c>
      <c r="S5" t="s">
        <v>228</v>
      </c>
    </row>
    <row r="6" spans="1:19" x14ac:dyDescent="0.4">
      <c r="B6" t="s">
        <v>163</v>
      </c>
      <c r="C6" t="s">
        <v>164</v>
      </c>
      <c r="E6" t="s">
        <v>165</v>
      </c>
      <c r="F6" t="s">
        <v>180</v>
      </c>
      <c r="G6" t="s">
        <v>144</v>
      </c>
      <c r="R6" t="str">
        <f t="shared" si="0"/>
        <v>INSERT INTO STB_B_AUTH_MNG (AUTH_ID, AUTH_KOR_NAME, AUTH_COMMENT, USE_YN, IS_DEL_ABLE) VALUES('Developer','S/W개발자','SoftWare 개발자','Y','Y');</v>
      </c>
      <c r="S6" t="s">
        <v>229</v>
      </c>
    </row>
    <row r="7" spans="1:19" x14ac:dyDescent="0.4">
      <c r="B7" t="s">
        <v>166</v>
      </c>
      <c r="C7" t="s">
        <v>167</v>
      </c>
      <c r="E7" t="s">
        <v>168</v>
      </c>
      <c r="F7" t="s">
        <v>180</v>
      </c>
      <c r="G7" t="s">
        <v>144</v>
      </c>
      <c r="R7" t="str">
        <f t="shared" si="0"/>
        <v>INSERT INTO STB_B_AUTH_MNG (AUTH_ID, AUTH_KOR_NAME, AUTH_COMMENT, USE_YN, IS_DEL_ABLE) VALUES('Desiginer','S/W디자이너','SoftWare 디자이너','Y','Y');</v>
      </c>
      <c r="S7" t="s">
        <v>230</v>
      </c>
    </row>
    <row r="8" spans="1:19" x14ac:dyDescent="0.4">
      <c r="B8" t="s">
        <v>169</v>
      </c>
      <c r="C8" t="s">
        <v>170</v>
      </c>
      <c r="E8" t="s">
        <v>170</v>
      </c>
      <c r="F8" t="s">
        <v>180</v>
      </c>
      <c r="G8" t="s">
        <v>144</v>
      </c>
      <c r="R8" t="str">
        <f t="shared" si="0"/>
        <v>INSERT INTO STB_B_AUTH_MNG (AUTH_ID, AUTH_KOR_NAME, AUTH_COMMENT, USE_YN, IS_DEL_ABLE) VALUES('Archtector','S/W아키텍처','S/W아키텍처','Y','Y');</v>
      </c>
      <c r="S8" t="s">
        <v>231</v>
      </c>
    </row>
    <row r="9" spans="1:19" x14ac:dyDescent="0.4">
      <c r="B9" t="s">
        <v>171</v>
      </c>
      <c r="C9" t="s">
        <v>172</v>
      </c>
      <c r="E9" t="s">
        <v>173</v>
      </c>
      <c r="F9" t="s">
        <v>180</v>
      </c>
      <c r="G9" t="s">
        <v>181</v>
      </c>
      <c r="R9" t="str">
        <f t="shared" si="0"/>
        <v>INSERT INTO STB_B_AUTH_MNG (AUTH_ID, AUTH_KOR_NAME, AUTH_COMMENT, USE_YN, IS_DEL_ABLE) VALUES('Anonyomus','익명사용자','익명사용자 (로그인전 사용자)','Y','N');</v>
      </c>
      <c r="S9" t="s">
        <v>232</v>
      </c>
    </row>
    <row r="10" spans="1:19" x14ac:dyDescent="0.4">
      <c r="B10" t="s">
        <v>175</v>
      </c>
      <c r="C10" t="s">
        <v>176</v>
      </c>
      <c r="E10" t="s">
        <v>177</v>
      </c>
      <c r="F10" t="s">
        <v>180</v>
      </c>
      <c r="G10" t="s">
        <v>181</v>
      </c>
      <c r="R10" t="str">
        <f t="shared" si="0"/>
        <v>INSERT INTO STB_B_AUTH_MNG (AUTH_ID, AUTH_KOR_NAME, AUTH_COMMENT, USE_YN, IS_DEL_ABLE) VALUES('Ready','가입승인준비자','가입승인 준비자','Y','N');</v>
      </c>
      <c r="S10" t="s">
        <v>233</v>
      </c>
    </row>
    <row r="11" spans="1:19" x14ac:dyDescent="0.4">
      <c r="B11" t="s">
        <v>174</v>
      </c>
      <c r="C11" t="s">
        <v>178</v>
      </c>
      <c r="E11" t="s">
        <v>179</v>
      </c>
      <c r="F11" t="s">
        <v>180</v>
      </c>
      <c r="G11" t="s">
        <v>144</v>
      </c>
      <c r="R11" t="str">
        <f t="shared" si="0"/>
        <v>INSERT INTO STB_B_AUTH_MNG (AUTH_ID, AUTH_KOR_NAME, AUTH_COMMENT, USE_YN, IS_DEL_ABLE) VALUES('Member','시스템 회원','시스템사용자(가입승인회원)','Y','Y');</v>
      </c>
      <c r="S11" t="s">
        <v>234</v>
      </c>
    </row>
  </sheetData>
  <mergeCells count="2">
    <mergeCell ref="R1:R3"/>
    <mergeCell ref="S1:S3"/>
  </mergeCells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9752-ACF9-45AC-82D3-05C540103F24}">
  <dimension ref="A1:G6"/>
  <sheetViews>
    <sheetView workbookViewId="0">
      <selection activeCell="C18" sqref="C18"/>
    </sheetView>
  </sheetViews>
  <sheetFormatPr defaultRowHeight="17.399999999999999" x14ac:dyDescent="0.4"/>
  <cols>
    <col min="1" max="1" width="12.3984375" bestFit="1" customWidth="1"/>
    <col min="2" max="2" width="11.59765625" bestFit="1" customWidth="1"/>
    <col min="3" max="3" width="12.19921875" bestFit="1" customWidth="1"/>
    <col min="5" max="5" width="13.69921875" bestFit="1" customWidth="1"/>
    <col min="6" max="6" width="10.69921875" customWidth="1"/>
  </cols>
  <sheetData>
    <row r="1" spans="1:7" x14ac:dyDescent="0.4">
      <c r="A1" s="3" t="s">
        <v>43</v>
      </c>
      <c r="B1" s="16" t="s">
        <v>145</v>
      </c>
      <c r="C1" s="16" t="s">
        <v>191</v>
      </c>
      <c r="D1" s="3" t="s">
        <v>155</v>
      </c>
      <c r="E1" s="3" t="s">
        <v>155</v>
      </c>
      <c r="F1" s="31" t="s">
        <v>219</v>
      </c>
      <c r="G1" s="32" t="s">
        <v>218</v>
      </c>
    </row>
    <row r="2" spans="1:7" x14ac:dyDescent="0.4">
      <c r="A2" s="1" t="s">
        <v>5</v>
      </c>
      <c r="B2" s="1" t="s">
        <v>146</v>
      </c>
      <c r="C2" s="1" t="s">
        <v>187</v>
      </c>
      <c r="D2" s="1" t="s">
        <v>11</v>
      </c>
      <c r="E2" s="1" t="s">
        <v>156</v>
      </c>
      <c r="F2" s="31"/>
      <c r="G2" s="33"/>
    </row>
    <row r="3" spans="1:7" x14ac:dyDescent="0.4">
      <c r="A3" s="2" t="s">
        <v>6</v>
      </c>
      <c r="B3" s="2" t="s">
        <v>147</v>
      </c>
      <c r="C3" s="2" t="s">
        <v>204</v>
      </c>
      <c r="D3" s="2" t="s">
        <v>12</v>
      </c>
      <c r="E3" s="2" t="s">
        <v>22</v>
      </c>
      <c r="F3" s="31"/>
      <c r="G3" s="33"/>
    </row>
    <row r="4" spans="1:7" x14ac:dyDescent="0.4">
      <c r="B4" t="s">
        <v>157</v>
      </c>
      <c r="C4" t="s">
        <v>203</v>
      </c>
      <c r="D4" t="s">
        <v>144</v>
      </c>
      <c r="E4" t="s">
        <v>120</v>
      </c>
      <c r="F4" s="23" t="str">
        <f>"INSERT INTO STB_M_AUTH_USER_MNG (AUTH_ID , USER_ID , USE_YN , IS_DEL_ABLE) VALUES('"&amp;B4&amp;"','"&amp;C4&amp;"','"&amp;D4&amp;"','"&amp;E4&amp;"');"</f>
        <v>INSERT INTO STB_M_AUTH_USER_MNG (AUTH_ID , USER_ID , USE_YN , IS_DEL_ABLE) VALUES('AllAdmin','standard_ms','Y','N');</v>
      </c>
      <c r="G4" s="23" t="s">
        <v>251</v>
      </c>
    </row>
    <row r="5" spans="1:7" x14ac:dyDescent="0.4">
      <c r="B5" t="s">
        <v>159</v>
      </c>
      <c r="C5" t="s">
        <v>205</v>
      </c>
      <c r="D5" t="s">
        <v>144</v>
      </c>
      <c r="E5" t="s">
        <v>120</v>
      </c>
      <c r="F5" s="23" t="str">
        <f t="shared" ref="F5:F6" si="0">"INSERT INTO STB_M_AUTH_USER_MNG (AUTH_ID , USER_ID , USE_YN , IS_DEL_ABLE) VALUES('"&amp;B5&amp;"','"&amp;C5&amp;"','"&amp;D5&amp;"','"&amp;E5&amp;"');"</f>
        <v>INSERT INTO STB_M_AUTH_USER_MNG (AUTH_ID , USER_ID , USE_YN , IS_DEL_ABLE) VALUES('Operator','operAdmin','Y','N');</v>
      </c>
      <c r="G5" s="23" t="s">
        <v>252</v>
      </c>
    </row>
    <row r="6" spans="1:7" x14ac:dyDescent="0.4">
      <c r="B6" t="s">
        <v>171</v>
      </c>
      <c r="C6" t="s">
        <v>207</v>
      </c>
      <c r="D6" t="s">
        <v>144</v>
      </c>
      <c r="E6" t="s">
        <v>120</v>
      </c>
      <c r="F6" s="23" t="str">
        <f t="shared" si="0"/>
        <v>INSERT INTO STB_M_AUTH_USER_MNG (AUTH_ID , USER_ID , USE_YN , IS_DEL_ABLE) VALUES('Anonyomus','dummyUser','Y','N');</v>
      </c>
      <c r="G6" s="23" t="s">
        <v>253</v>
      </c>
    </row>
  </sheetData>
  <mergeCells count="2">
    <mergeCell ref="F1:F3"/>
    <mergeCell ref="G1:G3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167A-CA48-4B30-AA6D-24839A9E084E}">
  <dimension ref="A1:L6"/>
  <sheetViews>
    <sheetView topLeftCell="E1" workbookViewId="0">
      <selection activeCell="K1" sqref="K1:L3"/>
    </sheetView>
  </sheetViews>
  <sheetFormatPr defaultRowHeight="17.399999999999999" x14ac:dyDescent="0.4"/>
  <cols>
    <col min="1" max="1" width="12.3984375" bestFit="1" customWidth="1"/>
    <col min="2" max="2" width="11.59765625" bestFit="1" customWidth="1"/>
    <col min="3" max="4" width="17.8984375" bestFit="1" customWidth="1"/>
    <col min="5" max="5" width="13" style="17" bestFit="1" customWidth="1"/>
    <col min="6" max="6" width="13" bestFit="1" customWidth="1"/>
    <col min="7" max="7" width="15.8984375" bestFit="1" customWidth="1"/>
    <col min="8" max="8" width="11.5" customWidth="1"/>
    <col min="9" max="9" width="12.3984375" customWidth="1"/>
    <col min="10" max="10" width="12.3984375" bestFit="1" customWidth="1"/>
    <col min="11" max="11" width="12.69921875" customWidth="1"/>
  </cols>
  <sheetData>
    <row r="1" spans="1:12" x14ac:dyDescent="0.4">
      <c r="A1" s="3" t="s">
        <v>43</v>
      </c>
      <c r="B1" s="16" t="s">
        <v>191</v>
      </c>
      <c r="C1" s="16" t="s">
        <v>192</v>
      </c>
      <c r="D1" s="16" t="s">
        <v>193</v>
      </c>
      <c r="E1" s="18" t="s">
        <v>191</v>
      </c>
      <c r="F1" s="3" t="s">
        <v>193</v>
      </c>
      <c r="G1" s="3" t="s">
        <v>195</v>
      </c>
      <c r="H1" s="3" t="s">
        <v>48</v>
      </c>
      <c r="I1" s="3" t="s">
        <v>47</v>
      </c>
      <c r="J1" s="3" t="s">
        <v>202</v>
      </c>
      <c r="K1" s="31" t="s">
        <v>219</v>
      </c>
      <c r="L1" s="32" t="s">
        <v>218</v>
      </c>
    </row>
    <row r="2" spans="1:12" x14ac:dyDescent="0.4">
      <c r="A2" s="1" t="s">
        <v>5</v>
      </c>
      <c r="B2" s="1" t="s">
        <v>187</v>
      </c>
      <c r="C2" s="5" t="s">
        <v>188</v>
      </c>
      <c r="D2" s="5" t="s">
        <v>189</v>
      </c>
      <c r="E2" s="19" t="s">
        <v>190</v>
      </c>
      <c r="F2" s="1" t="s">
        <v>194</v>
      </c>
      <c r="G2" s="1" t="s">
        <v>196</v>
      </c>
      <c r="H2" s="1" t="s">
        <v>198</v>
      </c>
      <c r="I2" s="1" t="s">
        <v>200</v>
      </c>
      <c r="J2" s="1" t="s">
        <v>21</v>
      </c>
      <c r="K2" s="31"/>
      <c r="L2" s="33"/>
    </row>
    <row r="3" spans="1:12" x14ac:dyDescent="0.4">
      <c r="A3" s="2" t="s">
        <v>6</v>
      </c>
      <c r="B3" s="2" t="s">
        <v>204</v>
      </c>
      <c r="C3" s="9" t="s">
        <v>249</v>
      </c>
      <c r="D3" s="9" t="s">
        <v>250</v>
      </c>
      <c r="E3" s="20" t="s">
        <v>208</v>
      </c>
      <c r="F3" s="2" t="s">
        <v>209</v>
      </c>
      <c r="G3" s="2" t="s">
        <v>197</v>
      </c>
      <c r="H3" s="2" t="s">
        <v>199</v>
      </c>
      <c r="I3" s="2" t="s">
        <v>201</v>
      </c>
      <c r="J3" s="2" t="s">
        <v>22</v>
      </c>
      <c r="K3" s="31"/>
      <c r="L3" s="33"/>
    </row>
    <row r="4" spans="1:12" x14ac:dyDescent="0.4">
      <c r="B4" t="s">
        <v>203</v>
      </c>
      <c r="C4" t="s">
        <v>256</v>
      </c>
      <c r="D4" t="s">
        <v>206</v>
      </c>
      <c r="E4" s="17" t="s">
        <v>212</v>
      </c>
      <c r="F4" s="21" t="s">
        <v>215</v>
      </c>
      <c r="G4" t="s">
        <v>2</v>
      </c>
      <c r="H4" t="s">
        <v>210</v>
      </c>
      <c r="I4" t="s">
        <v>211</v>
      </c>
      <c r="J4" t="s">
        <v>120</v>
      </c>
      <c r="K4" t="str">
        <f>"INSERT INTO STB_B_USER_MNG (USER_ID,USER_PSWD,  USER_KOR_NM, MOBILE_NO, EMAIL_ADDR, AUTH_AREA_CD, BLON_NM, REG_DIV_CD, IS_DEL_ABLE) VALUES ('"&amp;B4&amp;"','"&amp;C4&amp;"','"&amp;D4&amp;"','"&amp;E4&amp;"','"&amp;F4&amp;"','"&amp;G4&amp;"','"&amp;H4&amp;"','"&amp;I4&amp;"','"&amp;J4&amp;"');"</f>
        <v>INSERT INTO STB_B_USER_MNG (USER_ID,USER_PSWD,  USER_KOR_NM, MOBILE_NO, EMAIL_ADDR, AUTH_AREA_CD, BLON_NM, REG_DIV_CD, IS_DEL_ABLE) VALUES ('standard_ms','d68a837308ad818a3d04dcd34dcf94d140c47e4c4354006067a8b4c9ae11ec5dc1b350c56e35a3c8abf1be943dafafb1c08bc00bcc0f2f59b0c114ba0158d523','시스템전체관리자','01012341234','aaaa@opennote.co.kr','MA','오픈노트','initialize','N');</v>
      </c>
      <c r="L4" t="s">
        <v>257</v>
      </c>
    </row>
    <row r="5" spans="1:12" x14ac:dyDescent="0.4">
      <c r="B5" t="s">
        <v>205</v>
      </c>
      <c r="C5" t="s">
        <v>256</v>
      </c>
      <c r="D5" t="s">
        <v>160</v>
      </c>
      <c r="E5" s="17" t="s">
        <v>213</v>
      </c>
      <c r="F5" s="21" t="s">
        <v>216</v>
      </c>
      <c r="G5" t="s">
        <v>2</v>
      </c>
      <c r="H5" t="s">
        <v>210</v>
      </c>
      <c r="I5" t="s">
        <v>211</v>
      </c>
      <c r="J5" t="s">
        <v>120</v>
      </c>
      <c r="K5" t="str">
        <f t="shared" ref="K5:K6" si="0">"INSERT INTO STB_B_USER_MNG (USER_ID,USER_PSWD,  USER_KOR_NM, MOBILE_NO, EMAIL_ADDR, AUTH_AREA_CD, BLON_NM, REG_DIV_CD, IS_DEL_ABLE) VALUES ('"&amp;B5&amp;"','"&amp;C5&amp;"','"&amp;D5&amp;"','"&amp;E5&amp;"','"&amp;F5&amp;"','"&amp;G5&amp;"','"&amp;H5&amp;"','"&amp;I5&amp;"','"&amp;J5&amp;"');"</f>
        <v>INSERT INTO STB_B_USER_MNG (USER_ID,USER_PSWD,  USER_KOR_NM, MOBILE_NO, EMAIL_ADDR, AUTH_AREA_CD, BLON_NM, REG_DIV_CD, IS_DEL_ABLE) VALUES ('operAdmin','d68a837308ad818a3d04dcd34dcf94d140c47e4c4354006067a8b4c9ae11ec5dc1b350c56e35a3c8abf1be943dafafb1c08bc00bcc0f2f59b0c114ba0158d523','시스템운영자','01012342345','bbbb@opennote.co.kr','MA','오픈노트','initialize','N');</v>
      </c>
      <c r="L5" t="s">
        <v>258</v>
      </c>
    </row>
    <row r="6" spans="1:12" x14ac:dyDescent="0.4">
      <c r="B6" t="s">
        <v>207</v>
      </c>
      <c r="C6" t="s">
        <v>256</v>
      </c>
      <c r="D6" t="s">
        <v>172</v>
      </c>
      <c r="E6" s="17" t="s">
        <v>214</v>
      </c>
      <c r="F6" s="21" t="s">
        <v>217</v>
      </c>
      <c r="G6" t="s">
        <v>121</v>
      </c>
      <c r="H6" t="s">
        <v>210</v>
      </c>
      <c r="I6" t="s">
        <v>211</v>
      </c>
      <c r="J6" t="s">
        <v>120</v>
      </c>
      <c r="K6" t="str">
        <f t="shared" si="0"/>
        <v>INSERT INTO STB_B_USER_MNG (USER_ID,USER_PSWD,  USER_KOR_NM, MOBILE_NO, EMAIL_ADDR, AUTH_AREA_CD, BLON_NM, REG_DIV_CD, IS_DEL_ABLE) VALUES ('dummyUser','d68a837308ad818a3d04dcd34dcf94d140c47e4c4354006067a8b4c9ae11ec5dc1b350c56e35a3c8abf1be943dafafb1c08bc00bcc0f2f59b0c114ba0158d523','익명사용자','01012343456','cccc@opennote.co.kr','FT','오픈노트','initialize','N');</v>
      </c>
      <c r="L6" t="s">
        <v>259</v>
      </c>
    </row>
  </sheetData>
  <mergeCells count="2">
    <mergeCell ref="K1:K3"/>
    <mergeCell ref="L1:L3"/>
  </mergeCells>
  <phoneticPr fontId="1" type="noConversion"/>
  <hyperlinks>
    <hyperlink ref="F4" r:id="rId1" xr:uid="{8DEF5F22-D1E3-41D4-832E-C7FC70F36B24}"/>
    <hyperlink ref="F5" r:id="rId2" xr:uid="{25DB46BB-A581-404E-8BE4-8EA8E0526B07}"/>
    <hyperlink ref="F6" r:id="rId3" xr:uid="{12A1B653-FC42-42EB-B94E-7673001C1D45}"/>
  </hyperlinks>
  <pageMargins left="0.7" right="0.7" top="0.75" bottom="0.75" header="0.3" footer="0.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DA6F-4C3A-48CD-BDB0-20BE7A614948}">
  <dimension ref="A1:T78"/>
  <sheetViews>
    <sheetView workbookViewId="0">
      <pane ySplit="3" topLeftCell="A10" activePane="bottomLeft" state="frozen"/>
      <selection pane="bottomLeft" activeCell="H36" sqref="H36"/>
    </sheetView>
  </sheetViews>
  <sheetFormatPr defaultRowHeight="17.399999999999999" x14ac:dyDescent="0.4"/>
  <cols>
    <col min="1" max="1" width="10.3984375" bestFit="1" customWidth="1"/>
    <col min="2" max="2" width="16.5" style="17" bestFit="1" customWidth="1"/>
    <col min="3" max="3" width="17" bestFit="1" customWidth="1"/>
    <col min="4" max="4" width="17" customWidth="1"/>
    <col min="5" max="5" width="17.19921875" bestFit="1" customWidth="1"/>
    <col min="6" max="6" width="19.296875" customWidth="1"/>
    <col min="7" max="11" width="7.69921875" customWidth="1"/>
    <col min="12" max="16" width="7.69921875" hidden="1" customWidth="1"/>
    <col min="17" max="17" width="11" customWidth="1"/>
    <col min="18" max="18" width="11.5" customWidth="1"/>
    <col min="19" max="19" width="12.69921875" customWidth="1"/>
  </cols>
  <sheetData>
    <row r="1" spans="1:20" x14ac:dyDescent="0.4">
      <c r="A1" s="3" t="s">
        <v>43</v>
      </c>
      <c r="B1" s="28" t="s">
        <v>191</v>
      </c>
      <c r="C1" s="16" t="s">
        <v>191</v>
      </c>
      <c r="D1" s="16" t="s">
        <v>193</v>
      </c>
      <c r="E1" s="16" t="s">
        <v>268</v>
      </c>
      <c r="F1" s="16" t="s">
        <v>192</v>
      </c>
      <c r="G1" s="16" t="s">
        <v>193</v>
      </c>
      <c r="H1" s="16" t="s">
        <v>193</v>
      </c>
      <c r="I1" s="16" t="s">
        <v>290</v>
      </c>
      <c r="J1" s="16" t="s">
        <v>290</v>
      </c>
      <c r="K1" s="16" t="s">
        <v>290</v>
      </c>
      <c r="L1" s="16" t="s">
        <v>290</v>
      </c>
      <c r="M1" s="16" t="s">
        <v>290</v>
      </c>
      <c r="N1" s="16" t="s">
        <v>290</v>
      </c>
      <c r="O1" s="16" t="s">
        <v>290</v>
      </c>
      <c r="P1" s="16" t="s">
        <v>290</v>
      </c>
      <c r="Q1" s="16" t="s">
        <v>155</v>
      </c>
      <c r="R1" s="3" t="s">
        <v>202</v>
      </c>
      <c r="S1" s="31" t="s">
        <v>219</v>
      </c>
      <c r="T1" s="32" t="s">
        <v>218</v>
      </c>
    </row>
    <row r="2" spans="1:20" x14ac:dyDescent="0.4">
      <c r="A2" s="1" t="s">
        <v>5</v>
      </c>
      <c r="B2" s="19" t="s">
        <v>263</v>
      </c>
      <c r="C2" s="5" t="s">
        <v>264</v>
      </c>
      <c r="D2" s="5" t="s">
        <v>576</v>
      </c>
      <c r="E2" s="5" t="s">
        <v>10</v>
      </c>
      <c r="F2" s="19" t="s">
        <v>267</v>
      </c>
      <c r="G2" s="19" t="s">
        <v>292</v>
      </c>
      <c r="H2" s="19" t="s">
        <v>293</v>
      </c>
      <c r="I2" s="19" t="s">
        <v>295</v>
      </c>
      <c r="J2" s="19" t="s">
        <v>296</v>
      </c>
      <c r="K2" s="19" t="s">
        <v>297</v>
      </c>
      <c r="L2" s="19" t="s">
        <v>298</v>
      </c>
      <c r="M2" s="19" t="s">
        <v>299</v>
      </c>
      <c r="N2" s="19" t="s">
        <v>300</v>
      </c>
      <c r="O2" s="19" t="s">
        <v>307</v>
      </c>
      <c r="P2" s="19" t="s">
        <v>308</v>
      </c>
      <c r="Q2" s="1" t="s">
        <v>11</v>
      </c>
      <c r="R2" s="1" t="s">
        <v>21</v>
      </c>
      <c r="S2" s="31"/>
      <c r="T2" s="33"/>
    </row>
    <row r="3" spans="1:20" x14ac:dyDescent="0.4">
      <c r="A3" s="2" t="s">
        <v>6</v>
      </c>
      <c r="B3" s="29" t="s">
        <v>261</v>
      </c>
      <c r="C3" s="9" t="s">
        <v>262</v>
      </c>
      <c r="D3" s="9" t="s">
        <v>575</v>
      </c>
      <c r="E3" s="9" t="s">
        <v>265</v>
      </c>
      <c r="F3" s="20" t="s">
        <v>266</v>
      </c>
      <c r="G3" s="20" t="s">
        <v>291</v>
      </c>
      <c r="H3" s="20" t="s">
        <v>294</v>
      </c>
      <c r="I3" s="20" t="s">
        <v>301</v>
      </c>
      <c r="J3" s="20" t="s">
        <v>302</v>
      </c>
      <c r="K3" s="20" t="s">
        <v>303</v>
      </c>
      <c r="L3" s="20" t="s">
        <v>304</v>
      </c>
      <c r="M3" s="20" t="s">
        <v>305</v>
      </c>
      <c r="N3" s="20" t="s">
        <v>306</v>
      </c>
      <c r="O3" s="20" t="s">
        <v>309</v>
      </c>
      <c r="P3" s="20" t="s">
        <v>310</v>
      </c>
      <c r="Q3" s="2" t="s">
        <v>12</v>
      </c>
      <c r="R3" s="2" t="s">
        <v>22</v>
      </c>
      <c r="S3" s="31"/>
      <c r="T3" s="33"/>
    </row>
    <row r="4" spans="1:20" x14ac:dyDescent="0.4">
      <c r="B4" s="17" t="s">
        <v>67</v>
      </c>
      <c r="D4" t="s">
        <v>270</v>
      </c>
      <c r="E4">
        <v>10</v>
      </c>
      <c r="F4" t="s">
        <v>270</v>
      </c>
      <c r="Q4" t="s">
        <v>144</v>
      </c>
      <c r="R4" t="s">
        <v>120</v>
      </c>
      <c r="S4" t="str">
        <f>"INSERT INTO STB_B_CD_MNG (COM_CD, UPP_COM_CD,CD_NM,  SORT_NO, CD_COMMENT,FILTER_1,FILTER_2,FILTER_3,FILTER_4,FILTER_5,FILTER_6,FILTER_7,FILTER_8,FILTER_9,FILTER_10,USE_YN, IS_DEL_ABLE ) VALUES ('"&amp;B4&amp;"','"&amp;C4&amp;"','"&amp;D4&amp;"','"&amp;E4&amp;"','"&amp;F4&amp;"','"&amp;G4&amp;"','"&amp;H4&amp;"','"&amp;I4&amp;"','"&amp;J4&amp;"','"&amp;K4&amp;"','"&amp;L4&amp;"','"&amp;M4&amp;"','"&amp;N4&amp;"','"&amp;O4&amp;"','"&amp;P4&amp;"','"&amp;Q4&amp;"','"&amp;R4&amp;"');"</f>
        <v>INSERT INTO STB_B_CD_MNG (COM_CD, UPP_COM_CD,CD_NM,  SORT_NO, CD_COMMENT,FILTER_1,FILTER_2,FILTER_3,FILTER_4,FILTER_5,FILTER_6,FILTER_7,FILTER_8,FILTER_9,FILTER_10,USE_YN, IS_DEL_ABLE ) VALUES ('ROOT','','공통코드 ROOT','10','공통코드 ROOT','','','','','','','','','','','Y','N');</v>
      </c>
      <c r="T4" t="s">
        <v>577</v>
      </c>
    </row>
    <row r="5" spans="1:20" x14ac:dyDescent="0.4">
      <c r="B5" s="17" t="s">
        <v>269</v>
      </c>
      <c r="C5" t="s">
        <v>67</v>
      </c>
      <c r="D5" t="s">
        <v>271</v>
      </c>
      <c r="E5">
        <v>10</v>
      </c>
      <c r="F5" t="s">
        <v>271</v>
      </c>
      <c r="Q5" t="s">
        <v>144</v>
      </c>
      <c r="R5" t="s">
        <v>120</v>
      </c>
      <c r="S5" t="str">
        <f t="shared" ref="S5:S68" si="0">"INSERT INTO STB_B_CD_MNG (COM_CD, UPP_COM_CD,CD_NM,  SORT_NO, CD_COMMENT,FILTER_1,FILTER_2,FILTER_3,FILTER_4,FILTER_5,FILTER_6,FILTER_7,FILTER_8,FILTER_9,FILTER_10,USE_YN, IS_DEL_ABLE ) VALUES ('"&amp;B5&amp;"','"&amp;C5&amp;"','"&amp;D5&amp;"','"&amp;E5&amp;"','"&amp;F5&amp;"','"&amp;G5&amp;"','"&amp;H5&amp;"','"&amp;I5&amp;"','"&amp;J5&amp;"','"&amp;K5&amp;"','"&amp;L5&amp;"','"&amp;M5&amp;"','"&amp;N5&amp;"','"&amp;O5&amp;"','"&amp;P5&amp;"','"&amp;Q5&amp;"','"&amp;R5&amp;"');"</f>
        <v>INSERT INTO STB_B_CD_MNG (COM_CD, UPP_COM_CD,CD_NM,  SORT_NO, CD_COMMENT,FILTER_1,FILTER_2,FILTER_3,FILTER_4,FILTER_5,FILTER_6,FILTER_7,FILTER_8,FILTER_9,FILTER_10,USE_YN, IS_DEL_ABLE ) VALUES ('AUTH_DIV','ROOT','권한구분','10','권한구분','','','','','','','','','','','Y','N');</v>
      </c>
      <c r="T5" t="s">
        <v>578</v>
      </c>
    </row>
    <row r="6" spans="1:20" x14ac:dyDescent="0.4">
      <c r="B6" s="17" t="s">
        <v>2</v>
      </c>
      <c r="C6" t="s">
        <v>269</v>
      </c>
      <c r="D6" t="s">
        <v>272</v>
      </c>
      <c r="E6">
        <v>10</v>
      </c>
      <c r="F6" t="s">
        <v>272</v>
      </c>
      <c r="Q6" t="s">
        <v>144</v>
      </c>
      <c r="R6" t="s">
        <v>120</v>
      </c>
      <c r="S6" t="str">
        <f t="shared" si="0"/>
        <v>INSERT INTO STB_B_CD_MNG (COM_CD, UPP_COM_CD,CD_NM,  SORT_NO, CD_COMMENT,FILTER_1,FILTER_2,FILTER_3,FILTER_4,FILTER_5,FILTER_6,FILTER_7,FILTER_8,FILTER_9,FILTER_10,USE_YN, IS_DEL_ABLE ) VALUES ('MA','AUTH_DIV','관리자','10','관리자','','','','','','','','','','','Y','N');</v>
      </c>
      <c r="T6" t="s">
        <v>579</v>
      </c>
    </row>
    <row r="7" spans="1:20" x14ac:dyDescent="0.4">
      <c r="B7" s="17" t="s">
        <v>121</v>
      </c>
      <c r="C7" t="s">
        <v>269</v>
      </c>
      <c r="D7" t="s">
        <v>273</v>
      </c>
      <c r="E7">
        <v>20</v>
      </c>
      <c r="F7" t="s">
        <v>273</v>
      </c>
      <c r="Q7" t="s">
        <v>144</v>
      </c>
      <c r="R7" t="s">
        <v>120</v>
      </c>
      <c r="S7" t="str">
        <f t="shared" si="0"/>
        <v>INSERT INTO STB_B_CD_MNG (COM_CD, UPP_COM_CD,CD_NM,  SORT_NO, CD_COMMENT,FILTER_1,FILTER_2,FILTER_3,FILTER_4,FILTER_5,FILTER_6,FILTER_7,FILTER_8,FILTER_9,FILTER_10,USE_YN, IS_DEL_ABLE ) VALUES ('FT','AUTH_DIV','사용자','20','사용자','','','','','','','','','','','Y','N');</v>
      </c>
      <c r="T7" t="s">
        <v>580</v>
      </c>
    </row>
    <row r="8" spans="1:20" x14ac:dyDescent="0.4">
      <c r="B8" s="17" t="s">
        <v>280</v>
      </c>
      <c r="C8" t="s">
        <v>67</v>
      </c>
      <c r="D8" t="s">
        <v>279</v>
      </c>
      <c r="E8">
        <v>20</v>
      </c>
      <c r="F8" t="s">
        <v>279</v>
      </c>
      <c r="Q8" t="s">
        <v>144</v>
      </c>
      <c r="R8" t="s">
        <v>120</v>
      </c>
      <c r="S8" t="str">
        <f t="shared" si="0"/>
        <v>INSERT INTO STB_B_CD_MNG (COM_CD, UPP_COM_CD,CD_NM,  SORT_NO, CD_COMMENT,FILTER_1,FILTER_2,FILTER_3,FILTER_4,FILTER_5,FILTER_6,FILTER_7,FILTER_8,FILTER_9,FILTER_10,USE_YN, IS_DEL_ABLE ) VALUES ('JOIN_DIV','ROOT','회원가입경로구분','20','회원가입경로구분','','','','','','','','','','','Y','N');</v>
      </c>
      <c r="T8" t="s">
        <v>581</v>
      </c>
    </row>
    <row r="9" spans="1:20" x14ac:dyDescent="0.4">
      <c r="B9" s="17" t="s">
        <v>629</v>
      </c>
      <c r="C9" t="s">
        <v>280</v>
      </c>
      <c r="D9" t="s">
        <v>281</v>
      </c>
      <c r="E9">
        <v>10</v>
      </c>
      <c r="F9" t="s">
        <v>281</v>
      </c>
      <c r="Q9" t="s">
        <v>144</v>
      </c>
      <c r="R9" t="s">
        <v>120</v>
      </c>
      <c r="S9" t="str">
        <f t="shared" si="0"/>
        <v>INSERT INTO STB_B_CD_MNG (COM_CD, UPP_COM_CD,CD_NM,  SORT_NO, CD_COMMENT,FILTER_1,FILTER_2,FILTER_3,FILTER_4,FILTER_5,FILTER_6,FILTER_7,FILTER_8,FILTER_9,FILTER_10,USE_YN, IS_DEL_ABLE ) VALUES ('Initialize','JOIN_DIV','초기화시점등록','10','초기화시점등록','','','','','','','','','','','Y','N');</v>
      </c>
      <c r="T9" t="s">
        <v>582</v>
      </c>
    </row>
    <row r="10" spans="1:20" x14ac:dyDescent="0.4">
      <c r="B10" s="17" t="s">
        <v>630</v>
      </c>
      <c r="C10" t="s">
        <v>280</v>
      </c>
      <c r="D10" t="s">
        <v>282</v>
      </c>
      <c r="E10">
        <v>20</v>
      </c>
      <c r="F10" t="s">
        <v>282</v>
      </c>
      <c r="Q10" t="s">
        <v>144</v>
      </c>
      <c r="R10" t="s">
        <v>120</v>
      </c>
      <c r="S10" t="str">
        <f t="shared" si="0"/>
        <v>INSERT INTO STB_B_CD_MNG (COM_CD, UPP_COM_CD,CD_NM,  SORT_NO, CD_COMMENT,FILTER_1,FILTER_2,FILTER_3,FILTER_4,FILTER_5,FILTER_6,FILTER_7,FILTER_8,FILTER_9,FILTER_10,USE_YN, IS_DEL_ABLE ) VALUES ('UserJoin','JOIN_DIV','사용자직접가입','20','사용자직접가입','','','','','','','','','','','Y','N');</v>
      </c>
      <c r="T10" t="s">
        <v>583</v>
      </c>
    </row>
    <row r="11" spans="1:20" x14ac:dyDescent="0.4">
      <c r="B11" s="17" t="s">
        <v>628</v>
      </c>
      <c r="C11" t="s">
        <v>280</v>
      </c>
      <c r="D11" t="s">
        <v>283</v>
      </c>
      <c r="E11">
        <v>30</v>
      </c>
      <c r="F11" t="s">
        <v>283</v>
      </c>
      <c r="Q11" t="s">
        <v>144</v>
      </c>
      <c r="R11" t="s">
        <v>120</v>
      </c>
      <c r="S11" t="str">
        <f t="shared" si="0"/>
        <v>INSERT INTO STB_B_CD_MNG (COM_CD, UPP_COM_CD,CD_NM,  SORT_NO, CD_COMMENT,FILTER_1,FILTER_2,FILTER_3,FILTER_4,FILTER_5,FILTER_6,FILTER_7,FILTER_8,FILTER_9,FILTER_10,USE_YN, IS_DEL_ABLE ) VALUES ('AdminRegist','JOIN_DIV','관리자직권등록','30','관리자직권등록','','','','','','','','','','','Y','N');</v>
      </c>
      <c r="T11" t="s">
        <v>584</v>
      </c>
    </row>
    <row r="12" spans="1:20" x14ac:dyDescent="0.4">
      <c r="B12" s="17" t="s">
        <v>260</v>
      </c>
      <c r="C12" t="s">
        <v>67</v>
      </c>
      <c r="D12" t="s">
        <v>284</v>
      </c>
      <c r="E12">
        <v>30</v>
      </c>
      <c r="F12" t="s">
        <v>284</v>
      </c>
      <c r="Q12" t="s">
        <v>144</v>
      </c>
      <c r="R12" t="s">
        <v>120</v>
      </c>
      <c r="S12" t="str">
        <f t="shared" si="0"/>
        <v>INSERT INTO STB_B_CD_MNG (COM_CD, UPP_COM_CD,CD_NM,  SORT_NO, CD_COMMENT,FILTER_1,FILTER_2,FILTER_3,FILTER_4,FILTER_5,FILTER_6,FILTER_7,FILTER_8,FILTER_9,FILTER_10,USE_YN, IS_DEL_ABLE ) VALUES ('ENC_ALGORITHM','ROOT','암호화 알고리즘','30','암호화 알고리즘','','','','','','','','','','','Y','N');</v>
      </c>
      <c r="T12" t="s">
        <v>585</v>
      </c>
    </row>
    <row r="13" spans="1:20" x14ac:dyDescent="0.4">
      <c r="B13" s="17" t="s">
        <v>277</v>
      </c>
      <c r="C13" t="s">
        <v>260</v>
      </c>
      <c r="D13" t="s">
        <v>277</v>
      </c>
      <c r="E13">
        <v>10</v>
      </c>
      <c r="F13" t="s">
        <v>285</v>
      </c>
      <c r="Q13" t="s">
        <v>120</v>
      </c>
      <c r="R13" t="s">
        <v>120</v>
      </c>
      <c r="S13" t="str">
        <f t="shared" si="0"/>
        <v>INSERT INTO STB_B_CD_MNG (COM_CD, UPP_COM_CD,CD_NM,  SORT_NO, CD_COMMENT,FILTER_1,FILTER_2,FILTER_3,FILTER_4,FILTER_5,FILTER_6,FILTER_7,FILTER_8,FILTER_9,FILTER_10,USE_YN, IS_DEL_ABLE ) VALUES ('SHA256','ENC_ALGORITHM','SHA256','10','SHA256 알고리즘','','','','','','','','','','','N','N');</v>
      </c>
      <c r="T13" t="s">
        <v>589</v>
      </c>
    </row>
    <row r="14" spans="1:20" x14ac:dyDescent="0.4">
      <c r="B14" s="17" t="s">
        <v>274</v>
      </c>
      <c r="C14" t="s">
        <v>260</v>
      </c>
      <c r="D14" t="s">
        <v>274</v>
      </c>
      <c r="E14">
        <v>20</v>
      </c>
      <c r="F14" t="s">
        <v>286</v>
      </c>
      <c r="Q14" t="s">
        <v>144</v>
      </c>
      <c r="R14" t="s">
        <v>120</v>
      </c>
      <c r="S14" t="str">
        <f t="shared" si="0"/>
        <v>INSERT INTO STB_B_CD_MNG (COM_CD, UPP_COM_CD,CD_NM,  SORT_NO, CD_COMMENT,FILTER_1,FILTER_2,FILTER_3,FILTER_4,FILTER_5,FILTER_6,FILTER_7,FILTER_8,FILTER_9,FILTER_10,USE_YN, IS_DEL_ABLE ) VALUES ('SHA512','ENC_ALGORITHM','SHA512','20','SHA512 알고리즘','','','','','','','','','','','Y','N');</v>
      </c>
      <c r="T14" t="s">
        <v>590</v>
      </c>
    </row>
    <row r="15" spans="1:20" x14ac:dyDescent="0.4">
      <c r="B15" s="17" t="s">
        <v>275</v>
      </c>
      <c r="C15" t="s">
        <v>260</v>
      </c>
      <c r="D15" t="s">
        <v>275</v>
      </c>
      <c r="E15">
        <v>30</v>
      </c>
      <c r="F15" t="s">
        <v>287</v>
      </c>
      <c r="Q15" t="s">
        <v>144</v>
      </c>
      <c r="R15" t="s">
        <v>120</v>
      </c>
      <c r="S15" t="str">
        <f t="shared" si="0"/>
        <v>INSERT INTO STB_B_CD_MNG (COM_CD, UPP_COM_CD,CD_NM,  SORT_NO, CD_COMMENT,FILTER_1,FILTER_2,FILTER_3,FILTER_4,FILTER_5,FILTER_6,FILTER_7,FILTER_8,FILTER_9,FILTER_10,USE_YN, IS_DEL_ABLE ) VALUES ('SHA1024','ENC_ALGORITHM','SHA1024','30','SHA1024 알고리즘','','','','','','','','','','','Y','N');</v>
      </c>
      <c r="T15" t="s">
        <v>591</v>
      </c>
    </row>
    <row r="16" spans="1:20" x14ac:dyDescent="0.4">
      <c r="B16" s="17" t="s">
        <v>276</v>
      </c>
      <c r="C16" t="s">
        <v>260</v>
      </c>
      <c r="D16" t="s">
        <v>276</v>
      </c>
      <c r="E16">
        <v>40</v>
      </c>
      <c r="F16" t="s">
        <v>288</v>
      </c>
      <c r="Q16" t="s">
        <v>144</v>
      </c>
      <c r="R16" t="s">
        <v>120</v>
      </c>
      <c r="S16" t="str">
        <f t="shared" si="0"/>
        <v>INSERT INTO STB_B_CD_MNG (COM_CD, UPP_COM_CD,CD_NM,  SORT_NO, CD_COMMENT,FILTER_1,FILTER_2,FILTER_3,FILTER_4,FILTER_5,FILTER_6,FILTER_7,FILTER_8,FILTER_9,FILTER_10,USE_YN, IS_DEL_ABLE ) VALUES ('RSA','ENC_ALGORITHM','RSA','40','RSA 알고리즘','','','','','','','','','','','Y','N');</v>
      </c>
      <c r="T16" t="s">
        <v>592</v>
      </c>
    </row>
    <row r="17" spans="2:20" x14ac:dyDescent="0.4">
      <c r="B17" s="17" t="s">
        <v>278</v>
      </c>
      <c r="C17" t="s">
        <v>260</v>
      </c>
      <c r="D17" t="s">
        <v>278</v>
      </c>
      <c r="E17">
        <v>50</v>
      </c>
      <c r="F17" t="s">
        <v>289</v>
      </c>
      <c r="Q17" t="s">
        <v>120</v>
      </c>
      <c r="R17" t="s">
        <v>120</v>
      </c>
      <c r="S17" t="str">
        <f t="shared" si="0"/>
        <v>INSERT INTO STB_B_CD_MNG (COM_CD, UPP_COM_CD,CD_NM,  SORT_NO, CD_COMMENT,FILTER_1,FILTER_2,FILTER_3,FILTER_4,FILTER_5,FILTER_6,FILTER_7,FILTER_8,FILTER_9,FILTER_10,USE_YN, IS_DEL_ABLE ) VALUES ('MD5','ENC_ALGORITHM','MD5','50','MD5알고리즘','','','','','','','','','','','N','N');</v>
      </c>
      <c r="T17" t="s">
        <v>593</v>
      </c>
    </row>
    <row r="18" spans="2:20" x14ac:dyDescent="0.4">
      <c r="B18" s="17" t="s">
        <v>571</v>
      </c>
      <c r="C18" t="s">
        <v>67</v>
      </c>
      <c r="D18" t="s">
        <v>574</v>
      </c>
      <c r="E18">
        <v>40</v>
      </c>
      <c r="F18" t="s">
        <v>574</v>
      </c>
      <c r="Q18" t="s">
        <v>144</v>
      </c>
      <c r="R18" t="s">
        <v>120</v>
      </c>
      <c r="S18" t="str">
        <f t="shared" si="0"/>
        <v>INSERT INTO STB_B_CD_MNG (COM_CD, UPP_COM_CD,CD_NM,  SORT_NO, CD_COMMENT,FILTER_1,FILTER_2,FILTER_3,FILTER_4,FILTER_5,FILTER_6,FILTER_7,FILTER_8,FILTER_9,FILTER_10,USE_YN, IS_DEL_ABLE ) VALUES ('COM_USE_YN','ROOT','공용 사용여부','40','공용 사용여부','','','','','','','','','','','Y','N');</v>
      </c>
      <c r="T18" t="s">
        <v>586</v>
      </c>
    </row>
    <row r="19" spans="2:20" x14ac:dyDescent="0.4">
      <c r="B19" s="17" t="s">
        <v>144</v>
      </c>
      <c r="C19" t="s">
        <v>571</v>
      </c>
      <c r="D19" t="s">
        <v>572</v>
      </c>
      <c r="E19">
        <v>10</v>
      </c>
      <c r="F19" t="s">
        <v>572</v>
      </c>
      <c r="G19" t="s">
        <v>770</v>
      </c>
      <c r="Q19" t="s">
        <v>144</v>
      </c>
      <c r="R19" t="s">
        <v>120</v>
      </c>
      <c r="S19" t="str">
        <f t="shared" si="0"/>
        <v>INSERT INTO STB_B_CD_MNG (COM_CD, UPP_COM_CD,CD_NM,  SORT_NO, CD_COMMENT,FILTER_1,FILTER_2,FILTER_3,FILTER_4,FILTER_5,FILTER_6,FILTER_7,FILTER_8,FILTER_9,FILTER_10,USE_YN, IS_DEL_ABLE ) VALUES ('Y','COM_USE_YN','사용','10','사용','예','','','','','','','','','','Y','N');</v>
      </c>
      <c r="T19" t="s">
        <v>587</v>
      </c>
    </row>
    <row r="20" spans="2:20" x14ac:dyDescent="0.4">
      <c r="B20" s="17" t="s">
        <v>120</v>
      </c>
      <c r="C20" t="s">
        <v>571</v>
      </c>
      <c r="D20" t="s">
        <v>573</v>
      </c>
      <c r="E20">
        <v>20</v>
      </c>
      <c r="F20" t="s">
        <v>573</v>
      </c>
      <c r="G20" t="s">
        <v>771</v>
      </c>
      <c r="Q20" t="s">
        <v>144</v>
      </c>
      <c r="R20" t="s">
        <v>120</v>
      </c>
      <c r="S20" t="str">
        <f t="shared" si="0"/>
        <v>INSERT INTO STB_B_CD_MNG (COM_CD, UPP_COM_CD,CD_NM,  SORT_NO, CD_COMMENT,FILTER_1,FILTER_2,FILTER_3,FILTER_4,FILTER_5,FILTER_6,FILTER_7,FILTER_8,FILTER_9,FILTER_10,USE_YN, IS_DEL_ABLE ) VALUES ('N','COM_USE_YN','미사용','20','미사용','아니오','','','','','','','','','','Y','N');</v>
      </c>
      <c r="T20" t="s">
        <v>588</v>
      </c>
    </row>
    <row r="21" spans="2:20" x14ac:dyDescent="0.4">
      <c r="B21" s="17" t="s">
        <v>324</v>
      </c>
      <c r="C21" t="s">
        <v>67</v>
      </c>
      <c r="D21" t="s">
        <v>604</v>
      </c>
      <c r="E21">
        <v>50</v>
      </c>
      <c r="F21" t="s">
        <v>604</v>
      </c>
      <c r="Q21" t="s">
        <v>144</v>
      </c>
      <c r="R21" t="s">
        <v>120</v>
      </c>
      <c r="S21" t="str">
        <f t="shared" si="0"/>
        <v>INSERT INTO STB_B_CD_MNG (COM_CD, UPP_COM_CD,CD_NM,  SORT_NO, CD_COMMENT,FILTER_1,FILTER_2,FILTER_3,FILTER_4,FILTER_5,FILTER_6,FILTER_7,FILTER_8,FILTER_9,FILTER_10,USE_YN, IS_DEL_ABLE ) VALUES ('PSSN_PRD_CD','ROOT','탈퇴계정 보유기간','50','탈퇴계정 보유기간','','','','','','','','','','','Y','N');</v>
      </c>
      <c r="T21" t="s">
        <v>610</v>
      </c>
    </row>
    <row r="22" spans="2:20" x14ac:dyDescent="0.4">
      <c r="B22" s="17" t="s">
        <v>594</v>
      </c>
      <c r="C22" t="s">
        <v>324</v>
      </c>
      <c r="D22" t="s">
        <v>599</v>
      </c>
      <c r="E22">
        <v>10</v>
      </c>
      <c r="F22" t="s">
        <v>599</v>
      </c>
      <c r="Q22" t="s">
        <v>144</v>
      </c>
      <c r="R22" t="s">
        <v>120</v>
      </c>
      <c r="S22" t="str">
        <f t="shared" si="0"/>
        <v>INSERT INTO STB_B_CD_MNG (COM_CD, UPP_COM_CD,CD_NM,  SORT_NO, CD_COMMENT,FILTER_1,FILTER_2,FILTER_3,FILTER_4,FILTER_5,FILTER_6,FILTER_7,FILTER_8,FILTER_9,FILTER_10,USE_YN, IS_DEL_ABLE ) VALUES ('03','PSSN_PRD_CD','3년','10','3년','','','','','','','','','','','Y','N');</v>
      </c>
      <c r="T22" t="s">
        <v>605</v>
      </c>
    </row>
    <row r="23" spans="2:20" x14ac:dyDescent="0.4">
      <c r="B23" s="17" t="s">
        <v>595</v>
      </c>
      <c r="C23" t="s">
        <v>324</v>
      </c>
      <c r="D23" t="s">
        <v>600</v>
      </c>
      <c r="E23">
        <v>20</v>
      </c>
      <c r="F23" t="s">
        <v>600</v>
      </c>
      <c r="Q23" t="s">
        <v>144</v>
      </c>
      <c r="R23" t="s">
        <v>120</v>
      </c>
      <c r="S23" t="str">
        <f t="shared" si="0"/>
        <v>INSERT INTO STB_B_CD_MNG (COM_CD, UPP_COM_CD,CD_NM,  SORT_NO, CD_COMMENT,FILTER_1,FILTER_2,FILTER_3,FILTER_4,FILTER_5,FILTER_6,FILTER_7,FILTER_8,FILTER_9,FILTER_10,USE_YN, IS_DEL_ABLE ) VALUES ('04','PSSN_PRD_CD','4년','20','4년','','','','','','','','','','','Y','N');</v>
      </c>
      <c r="T23" t="s">
        <v>606</v>
      </c>
    </row>
    <row r="24" spans="2:20" x14ac:dyDescent="0.4">
      <c r="B24" s="17" t="s">
        <v>596</v>
      </c>
      <c r="C24" t="s">
        <v>324</v>
      </c>
      <c r="D24" t="s">
        <v>601</v>
      </c>
      <c r="E24">
        <v>30</v>
      </c>
      <c r="F24" t="s">
        <v>601</v>
      </c>
      <c r="Q24" t="s">
        <v>144</v>
      </c>
      <c r="R24" t="s">
        <v>120</v>
      </c>
      <c r="S24" t="str">
        <f t="shared" si="0"/>
        <v>INSERT INTO STB_B_CD_MNG (COM_CD, UPP_COM_CD,CD_NM,  SORT_NO, CD_COMMENT,FILTER_1,FILTER_2,FILTER_3,FILTER_4,FILTER_5,FILTER_6,FILTER_7,FILTER_8,FILTER_9,FILTER_10,USE_YN, IS_DEL_ABLE ) VALUES ('05','PSSN_PRD_CD','5년','30','5년','','','','','','','','','','','Y','N');</v>
      </c>
      <c r="T24" t="s">
        <v>607</v>
      </c>
    </row>
    <row r="25" spans="2:20" x14ac:dyDescent="0.4">
      <c r="B25" s="17" t="s">
        <v>597</v>
      </c>
      <c r="C25" t="s">
        <v>324</v>
      </c>
      <c r="D25" t="s">
        <v>602</v>
      </c>
      <c r="E25">
        <v>40</v>
      </c>
      <c r="F25" t="s">
        <v>602</v>
      </c>
      <c r="Q25" t="s">
        <v>144</v>
      </c>
      <c r="R25" t="s">
        <v>120</v>
      </c>
      <c r="S25" t="str">
        <f t="shared" si="0"/>
        <v>INSERT INTO STB_B_CD_MNG (COM_CD, UPP_COM_CD,CD_NM,  SORT_NO, CD_COMMENT,FILTER_1,FILTER_2,FILTER_3,FILTER_4,FILTER_5,FILTER_6,FILTER_7,FILTER_8,FILTER_9,FILTER_10,USE_YN, IS_DEL_ABLE ) VALUES ('08','PSSN_PRD_CD','8년','40','8년','','','','','','','','','','','Y','N');</v>
      </c>
      <c r="T25" t="s">
        <v>608</v>
      </c>
    </row>
    <row r="26" spans="2:20" x14ac:dyDescent="0.4">
      <c r="B26" s="17" t="s">
        <v>598</v>
      </c>
      <c r="C26" t="s">
        <v>324</v>
      </c>
      <c r="D26" t="s">
        <v>603</v>
      </c>
      <c r="E26">
        <v>50</v>
      </c>
      <c r="F26" t="s">
        <v>603</v>
      </c>
      <c r="Q26" t="s">
        <v>144</v>
      </c>
      <c r="R26" t="s">
        <v>120</v>
      </c>
      <c r="S26" t="str">
        <f t="shared" si="0"/>
        <v>INSERT INTO STB_B_CD_MNG (COM_CD, UPP_COM_CD,CD_NM,  SORT_NO, CD_COMMENT,FILTER_1,FILTER_2,FILTER_3,FILTER_4,FILTER_5,FILTER_6,FILTER_7,FILTER_8,FILTER_9,FILTER_10,USE_YN, IS_DEL_ABLE ) VALUES ('10','PSSN_PRD_CD','10년','50','10년','','','','','','','','','','','Y','N');</v>
      </c>
      <c r="T26" t="s">
        <v>609</v>
      </c>
    </row>
    <row r="27" spans="2:20" x14ac:dyDescent="0.4">
      <c r="B27" s="17" t="s">
        <v>612</v>
      </c>
      <c r="C27" t="s">
        <v>67</v>
      </c>
      <c r="D27" t="s">
        <v>611</v>
      </c>
      <c r="E27">
        <v>60</v>
      </c>
      <c r="F27" t="s">
        <v>611</v>
      </c>
      <c r="Q27" t="s">
        <v>144</v>
      </c>
      <c r="R27" t="s">
        <v>120</v>
      </c>
      <c r="S27" t="str">
        <f t="shared" si="0"/>
        <v>INSERT INTO STB_B_CD_MNG (COM_CD, UPP_COM_CD,CD_NM,  SORT_NO, CD_COMMENT,FILTER_1,FILTER_2,FILTER_3,FILTER_4,FILTER_5,FILTER_6,FILTER_7,FILTER_8,FILTER_9,FILTER_10,USE_YN, IS_DEL_ABLE ) VALUES ('FILE_SAVE_DIV_CD','ROOT','파일저장 구조구분','60','파일저장 구조구분','','','','','','','','','','','Y','N');</v>
      </c>
      <c r="T27" t="s">
        <v>617</v>
      </c>
    </row>
    <row r="28" spans="2:20" x14ac:dyDescent="0.4">
      <c r="B28" s="17" t="s">
        <v>613</v>
      </c>
      <c r="C28" s="17" t="s">
        <v>612</v>
      </c>
      <c r="D28" t="s">
        <v>614</v>
      </c>
      <c r="E28">
        <v>10</v>
      </c>
      <c r="F28" t="s">
        <v>615</v>
      </c>
      <c r="Q28" t="s">
        <v>144</v>
      </c>
      <c r="R28" t="s">
        <v>120</v>
      </c>
      <c r="S28" t="str">
        <f t="shared" si="0"/>
        <v>INSERT INTO STB_B_CD_MNG (COM_CD, UPP_COM_CD,CD_NM,  SORT_NO, CD_COMMENT,FILTER_1,FILTER_2,FILTER_3,FILTER_4,FILTER_5,FILTER_6,FILTER_7,FILTER_8,FILTER_9,FILTER_10,USE_YN, IS_DEL_ABLE ) VALUES ('SYSTEM','FILE_SAVE_DIV_CD','System','10','Was 저장','','','','','','','','','','','Y','N');</v>
      </c>
      <c r="T28" t="s">
        <v>618</v>
      </c>
    </row>
    <row r="29" spans="2:20" x14ac:dyDescent="0.4">
      <c r="B29" s="17" t="s">
        <v>118</v>
      </c>
      <c r="C29" s="17" t="s">
        <v>612</v>
      </c>
      <c r="D29" t="s">
        <v>118</v>
      </c>
      <c r="E29">
        <v>20</v>
      </c>
      <c r="F29" t="s">
        <v>616</v>
      </c>
      <c r="Q29" t="s">
        <v>144</v>
      </c>
      <c r="R29" t="s">
        <v>120</v>
      </c>
      <c r="S29" t="str">
        <f t="shared" si="0"/>
        <v>INSERT INTO STB_B_CD_MNG (COM_CD, UPP_COM_CD,CD_NM,  SORT_NO, CD_COMMENT,FILTER_1,FILTER_2,FILTER_3,FILTER_4,FILTER_5,FILTER_6,FILTER_7,FILTER_8,FILTER_9,FILTER_10,USE_YN, IS_DEL_ABLE ) VALUES ('FTP','FILE_SAVE_DIV_CD','FTP','20','파일서버 저장','','','','','','','','','','','Y','N');</v>
      </c>
      <c r="T29" t="s">
        <v>619</v>
      </c>
    </row>
    <row r="30" spans="2:20" x14ac:dyDescent="0.4">
      <c r="B30" s="17" t="s">
        <v>22</v>
      </c>
      <c r="C30" t="s">
        <v>67</v>
      </c>
      <c r="D30" t="s">
        <v>624</v>
      </c>
      <c r="E30">
        <v>70</v>
      </c>
      <c r="F30" t="s">
        <v>624</v>
      </c>
      <c r="Q30" t="s">
        <v>144</v>
      </c>
      <c r="R30" t="s">
        <v>120</v>
      </c>
      <c r="S30" t="str">
        <f t="shared" si="0"/>
        <v>INSERT INTO STB_B_CD_MNG (COM_CD, UPP_COM_CD,CD_NM,  SORT_NO, CD_COMMENT,FILTER_1,FILTER_2,FILTER_3,FILTER_4,FILTER_5,FILTER_6,FILTER_7,FILTER_8,FILTER_9,FILTER_10,USE_YN, IS_DEL_ABLE ) VALUES ('IS_DEL_ABLE','ROOT','데이터 삭제가능여부','70','데이터 삭제가능여부','','','','','','','','','','','Y','N');</v>
      </c>
      <c r="T30" t="s">
        <v>625</v>
      </c>
    </row>
    <row r="31" spans="2:20" x14ac:dyDescent="0.4">
      <c r="B31" s="17" t="s">
        <v>144</v>
      </c>
      <c r="C31" s="17" t="s">
        <v>22</v>
      </c>
      <c r="D31" t="s">
        <v>622</v>
      </c>
      <c r="E31">
        <v>10</v>
      </c>
      <c r="F31" t="s">
        <v>622</v>
      </c>
      <c r="Q31" t="s">
        <v>144</v>
      </c>
      <c r="R31" t="s">
        <v>120</v>
      </c>
      <c r="S31" t="str">
        <f t="shared" si="0"/>
        <v>INSERT INTO STB_B_CD_MNG (COM_CD, UPP_COM_CD,CD_NM,  SORT_NO, CD_COMMENT,FILTER_1,FILTER_2,FILTER_3,FILTER_4,FILTER_5,FILTER_6,FILTER_7,FILTER_8,FILTER_9,FILTER_10,USE_YN, IS_DEL_ABLE ) VALUES ('Y','IS_DEL_ABLE','삭제가능','10','삭제가능','','','','','','','','','','','Y','N');</v>
      </c>
      <c r="T31" t="s">
        <v>626</v>
      </c>
    </row>
    <row r="32" spans="2:20" x14ac:dyDescent="0.4">
      <c r="B32" s="17" t="s">
        <v>120</v>
      </c>
      <c r="C32" s="17" t="s">
        <v>22</v>
      </c>
      <c r="D32" t="s">
        <v>623</v>
      </c>
      <c r="E32">
        <v>20</v>
      </c>
      <c r="F32" t="s">
        <v>623</v>
      </c>
      <c r="Q32" t="s">
        <v>144</v>
      </c>
      <c r="R32" t="s">
        <v>120</v>
      </c>
      <c r="S32" t="str">
        <f t="shared" si="0"/>
        <v>INSERT INTO STB_B_CD_MNG (COM_CD, UPP_COM_CD,CD_NM,  SORT_NO, CD_COMMENT,FILTER_1,FILTER_2,FILTER_3,FILTER_4,FILTER_5,FILTER_6,FILTER_7,FILTER_8,FILTER_9,FILTER_10,USE_YN, IS_DEL_ABLE ) VALUES ('N','IS_DEL_ABLE','삭제불가','20','삭제불가','','','','','','','','','','','Y','N');</v>
      </c>
      <c r="T32" t="s">
        <v>627</v>
      </c>
    </row>
    <row r="33" spans="2:20" x14ac:dyDescent="0.4">
      <c r="B33" s="17" t="s">
        <v>631</v>
      </c>
      <c r="C33" t="s">
        <v>67</v>
      </c>
      <c r="D33" t="s">
        <v>632</v>
      </c>
      <c r="E33">
        <v>80</v>
      </c>
      <c r="F33" t="s">
        <v>632</v>
      </c>
      <c r="Q33" t="s">
        <v>144</v>
      </c>
      <c r="R33" t="s">
        <v>144</v>
      </c>
      <c r="S33" t="str">
        <f t="shared" si="0"/>
        <v>INSERT INTO STB_B_CD_MNG (COM_CD, UPP_COM_CD,CD_NM,  SORT_NO, CD_COMMENT,FILTER_1,FILTER_2,FILTER_3,FILTER_4,FILTER_5,FILTER_6,FILTER_7,FILTER_8,FILTER_9,FILTER_10,USE_YN, IS_DEL_ABLE ) VALUES ('TM','ROOT','템플릿관리','80','템플릿관리','','','','','','','','','','','Y','Y');</v>
      </c>
      <c r="T33" t="s">
        <v>722</v>
      </c>
    </row>
    <row r="34" spans="2:20" x14ac:dyDescent="0.4">
      <c r="B34" s="17" t="s">
        <v>633</v>
      </c>
      <c r="C34" s="17" t="s">
        <v>631</v>
      </c>
      <c r="D34" t="s">
        <v>635</v>
      </c>
      <c r="E34">
        <v>10</v>
      </c>
      <c r="F34" t="s">
        <v>635</v>
      </c>
      <c r="Q34" t="s">
        <v>144</v>
      </c>
      <c r="R34" t="s">
        <v>144</v>
      </c>
      <c r="S34" t="str">
        <f t="shared" si="0"/>
        <v>INSERT INTO STB_B_CD_MNG (COM_CD, UPP_COM_CD,CD_NM,  SORT_NO, CD_COMMENT,FILTER_1,FILTER_2,FILTER_3,FILTER_4,FILTER_5,FILTER_6,FILTER_7,FILTER_8,FILTER_9,FILTER_10,USE_YN, IS_DEL_ABLE ) VALUES ('TMCL','TM','템플릿 구분','10','템플릿 구분','','','','','','','','','','','Y','Y');</v>
      </c>
      <c r="T34" t="s">
        <v>723</v>
      </c>
    </row>
    <row r="35" spans="2:20" x14ac:dyDescent="0.4">
      <c r="B35" s="17" t="s">
        <v>634</v>
      </c>
      <c r="C35" s="17" t="s">
        <v>631</v>
      </c>
      <c r="D35" t="s">
        <v>636</v>
      </c>
      <c r="E35">
        <v>20</v>
      </c>
      <c r="F35" t="s">
        <v>636</v>
      </c>
      <c r="Q35" t="s">
        <v>144</v>
      </c>
      <c r="R35" t="s">
        <v>144</v>
      </c>
      <c r="S35" t="str">
        <f t="shared" si="0"/>
        <v>INSERT INTO STB_B_CD_MNG (COM_CD, UPP_COM_CD,CD_NM,  SORT_NO, CD_COMMENT,FILTER_1,FILTER_2,FILTER_3,FILTER_4,FILTER_5,FILTER_6,FILTER_7,FILTER_8,FILTER_9,FILTER_10,USE_YN, IS_DEL_ABLE ) VALUES ('TMTP','TM','템플릿 타입','20','템플릿 타입','','','','','','','','','','','Y','Y');</v>
      </c>
      <c r="T35" t="s">
        <v>724</v>
      </c>
    </row>
    <row r="36" spans="2:20" x14ac:dyDescent="0.4">
      <c r="B36" s="17" t="s">
        <v>637</v>
      </c>
      <c r="C36" s="17" t="s">
        <v>768</v>
      </c>
      <c r="D36" t="s">
        <v>639</v>
      </c>
      <c r="E36">
        <v>10</v>
      </c>
      <c r="F36" t="s">
        <v>639</v>
      </c>
      <c r="Q36" t="s">
        <v>144</v>
      </c>
      <c r="R36" t="s">
        <v>144</v>
      </c>
      <c r="S36" t="str">
        <f t="shared" si="0"/>
        <v>INSERT INTO STB_B_CD_MNG (COM_CD, UPP_COM_CD,CD_NM,  SORT_NO, CD_COMMENT,FILTER_1,FILTER_2,FILTER_3,FILTER_4,FILTER_5,FILTER_6,FILTER_7,FILTER_8,FILTER_9,FILTER_10,USE_YN, IS_DEL_ABLE ) VALUES ('TMCL01','TMCL','통합 템플릿','10','통합 템플릿','','','','','','','','','','','Y','Y');</v>
      </c>
      <c r="T36" t="s">
        <v>725</v>
      </c>
    </row>
    <row r="37" spans="2:20" x14ac:dyDescent="0.4">
      <c r="B37" s="17" t="s">
        <v>638</v>
      </c>
      <c r="C37" s="17" t="s">
        <v>633</v>
      </c>
      <c r="D37" t="s">
        <v>640</v>
      </c>
      <c r="E37">
        <v>20</v>
      </c>
      <c r="F37" t="s">
        <v>640</v>
      </c>
      <c r="Q37" t="s">
        <v>144</v>
      </c>
      <c r="R37" t="s">
        <v>144</v>
      </c>
      <c r="S37" t="str">
        <f t="shared" si="0"/>
        <v>INSERT INTO STB_B_CD_MNG (COM_CD, UPP_COM_CD,CD_NM,  SORT_NO, CD_COMMENT,FILTER_1,FILTER_2,FILTER_3,FILTER_4,FILTER_5,FILTER_6,FILTER_7,FILTER_8,FILTER_9,FILTER_10,USE_YN, IS_DEL_ABLE ) VALUES ('TMCL02','TMCL','개별 템플릿','20','개별 템플릿','','','','','','','','','','','Y','Y');</v>
      </c>
      <c r="T37" t="s">
        <v>726</v>
      </c>
    </row>
    <row r="38" spans="2:20" x14ac:dyDescent="0.4">
      <c r="B38" s="17" t="s">
        <v>641</v>
      </c>
      <c r="C38" s="17" t="s">
        <v>634</v>
      </c>
      <c r="D38" t="s">
        <v>645</v>
      </c>
      <c r="E38">
        <v>10</v>
      </c>
      <c r="F38" t="s">
        <v>645</v>
      </c>
      <c r="Q38" t="s">
        <v>144</v>
      </c>
      <c r="R38" t="s">
        <v>144</v>
      </c>
      <c r="S38" t="str">
        <f t="shared" si="0"/>
        <v>INSERT INTO STB_B_CD_MNG (COM_CD, UPP_COM_CD,CD_NM,  SORT_NO, CD_COMMENT,FILTER_1,FILTER_2,FILTER_3,FILTER_4,FILTER_5,FILTER_6,FILTER_7,FILTER_8,FILTER_9,FILTER_10,USE_YN, IS_DEL_ABLE ) VALUES ('TMTP01','TMTP','인사말','10','인사말','','','','','','','','','','','Y','Y');</v>
      </c>
      <c r="T38" t="s">
        <v>727</v>
      </c>
    </row>
    <row r="39" spans="2:20" x14ac:dyDescent="0.4">
      <c r="B39" s="17" t="s">
        <v>642</v>
      </c>
      <c r="C39" s="17" t="s">
        <v>769</v>
      </c>
      <c r="D39" t="s">
        <v>124</v>
      </c>
      <c r="E39">
        <v>20</v>
      </c>
      <c r="F39" t="s">
        <v>124</v>
      </c>
      <c r="Q39" t="s">
        <v>144</v>
      </c>
      <c r="R39" t="s">
        <v>144</v>
      </c>
      <c r="S39" t="str">
        <f t="shared" si="0"/>
        <v>INSERT INTO STB_B_CD_MNG (COM_CD, UPP_COM_CD,CD_NM,  SORT_NO, CD_COMMENT,FILTER_1,FILTER_2,FILTER_3,FILTER_4,FILTER_5,FILTER_6,FILTER_7,FILTER_8,FILTER_9,FILTER_10,USE_YN, IS_DEL_ABLE ) VALUES ('TMTP02','TMTP','연혁','20','연혁','','','','','','','','','','','Y','Y');</v>
      </c>
      <c r="T39" t="s">
        <v>728</v>
      </c>
    </row>
    <row r="40" spans="2:20" x14ac:dyDescent="0.4">
      <c r="B40" s="17" t="s">
        <v>643</v>
      </c>
      <c r="C40" s="17" t="s">
        <v>634</v>
      </c>
      <c r="D40" t="s">
        <v>646</v>
      </c>
      <c r="E40">
        <v>30</v>
      </c>
      <c r="F40" t="s">
        <v>646</v>
      </c>
      <c r="Q40" t="s">
        <v>144</v>
      </c>
      <c r="R40" t="s">
        <v>144</v>
      </c>
      <c r="S40" t="str">
        <f t="shared" si="0"/>
        <v>INSERT INTO STB_B_CD_MNG (COM_CD, UPP_COM_CD,CD_NM,  SORT_NO, CD_COMMENT,FILTER_1,FILTER_2,FILTER_3,FILTER_4,FILTER_5,FILTER_6,FILTER_7,FILTER_8,FILTER_9,FILTER_10,USE_YN, IS_DEL_ABLE ) VALUES ('TMTP03','TMTP','정관','30','정관','','','','','','','','','','','Y','Y');</v>
      </c>
      <c r="T40" t="s">
        <v>729</v>
      </c>
    </row>
    <row r="41" spans="2:20" x14ac:dyDescent="0.4">
      <c r="B41" s="17" t="s">
        <v>644</v>
      </c>
      <c r="C41" s="17" t="s">
        <v>634</v>
      </c>
      <c r="D41" t="s">
        <v>647</v>
      </c>
      <c r="E41">
        <v>40</v>
      </c>
      <c r="F41" t="s">
        <v>647</v>
      </c>
      <c r="Q41" t="s">
        <v>144</v>
      </c>
      <c r="R41" t="s">
        <v>144</v>
      </c>
      <c r="S41" t="str">
        <f t="shared" si="0"/>
        <v>INSERT INTO STB_B_CD_MNG (COM_CD, UPP_COM_CD,CD_NM,  SORT_NO, CD_COMMENT,FILTER_1,FILTER_2,FILTER_3,FILTER_4,FILTER_5,FILTER_6,FILTER_7,FILTER_8,FILTER_9,FILTER_10,USE_YN, IS_DEL_ABLE ) VALUES ('TMTP04','TMTP','오시는길','40','오시는길','','','','','','','','','','','Y','Y');</v>
      </c>
      <c r="T41" t="s">
        <v>730</v>
      </c>
    </row>
    <row r="42" spans="2:20" x14ac:dyDescent="0.4">
      <c r="B42" s="17" t="s">
        <v>648</v>
      </c>
      <c r="C42" s="17" t="s">
        <v>637</v>
      </c>
      <c r="D42" t="s">
        <v>645</v>
      </c>
      <c r="E42">
        <v>10</v>
      </c>
      <c r="F42" t="s">
        <v>645</v>
      </c>
      <c r="Q42" t="s">
        <v>144</v>
      </c>
      <c r="R42" t="s">
        <v>144</v>
      </c>
      <c r="S42" t="str">
        <f t="shared" si="0"/>
        <v>INSERT INTO STB_B_CD_MNG (COM_CD, UPP_COM_CD,CD_NM,  SORT_NO, CD_COMMENT,FILTER_1,FILTER_2,FILTER_3,FILTER_4,FILTER_5,FILTER_6,FILTER_7,FILTER_8,FILTER_9,FILTER_10,USE_YN, IS_DEL_ABLE ) VALUES ('TMCL0101','TMCL01','인사말','10','인사말','','','','','','','','','','','Y','Y');</v>
      </c>
      <c r="T42" t="s">
        <v>731</v>
      </c>
    </row>
    <row r="43" spans="2:20" x14ac:dyDescent="0.4">
      <c r="B43" s="17" t="s">
        <v>649</v>
      </c>
      <c r="C43" s="17" t="s">
        <v>637</v>
      </c>
      <c r="D43" t="s">
        <v>124</v>
      </c>
      <c r="E43">
        <v>20</v>
      </c>
      <c r="F43" t="s">
        <v>124</v>
      </c>
      <c r="Q43" t="s">
        <v>144</v>
      </c>
      <c r="R43" t="s">
        <v>144</v>
      </c>
      <c r="S43" t="str">
        <f t="shared" si="0"/>
        <v>INSERT INTO STB_B_CD_MNG (COM_CD, UPP_COM_CD,CD_NM,  SORT_NO, CD_COMMENT,FILTER_1,FILTER_2,FILTER_3,FILTER_4,FILTER_5,FILTER_6,FILTER_7,FILTER_8,FILTER_9,FILTER_10,USE_YN, IS_DEL_ABLE ) VALUES ('TMCL0102','TMCL01','연혁','20','연혁','','','','','','','','','','','Y','Y');</v>
      </c>
      <c r="T43" t="s">
        <v>732</v>
      </c>
    </row>
    <row r="44" spans="2:20" x14ac:dyDescent="0.4">
      <c r="B44" s="17" t="s">
        <v>650</v>
      </c>
      <c r="C44" s="17" t="s">
        <v>637</v>
      </c>
      <c r="D44" t="s">
        <v>646</v>
      </c>
      <c r="E44">
        <v>30</v>
      </c>
      <c r="F44" t="s">
        <v>646</v>
      </c>
      <c r="Q44" t="s">
        <v>144</v>
      </c>
      <c r="R44" t="s">
        <v>144</v>
      </c>
      <c r="S44" t="str">
        <f t="shared" si="0"/>
        <v>INSERT INTO STB_B_CD_MNG (COM_CD, UPP_COM_CD,CD_NM,  SORT_NO, CD_COMMENT,FILTER_1,FILTER_2,FILTER_3,FILTER_4,FILTER_5,FILTER_6,FILTER_7,FILTER_8,FILTER_9,FILTER_10,USE_YN, IS_DEL_ABLE ) VALUES ('TMCL0103','TMCL01','정관','30','정관','','','','','','','','','','','Y','Y');</v>
      </c>
      <c r="T44" t="s">
        <v>733</v>
      </c>
    </row>
    <row r="45" spans="2:20" x14ac:dyDescent="0.4">
      <c r="B45" s="17" t="s">
        <v>651</v>
      </c>
      <c r="C45" s="17" t="s">
        <v>637</v>
      </c>
      <c r="D45" t="s">
        <v>647</v>
      </c>
      <c r="E45">
        <v>40</v>
      </c>
      <c r="F45" t="s">
        <v>647</v>
      </c>
      <c r="Q45" t="s">
        <v>144</v>
      </c>
      <c r="R45" t="s">
        <v>144</v>
      </c>
      <c r="S45" t="str">
        <f t="shared" si="0"/>
        <v>INSERT INTO STB_B_CD_MNG (COM_CD, UPP_COM_CD,CD_NM,  SORT_NO, CD_COMMENT,FILTER_1,FILTER_2,FILTER_3,FILTER_4,FILTER_5,FILTER_6,FILTER_7,FILTER_8,FILTER_9,FILTER_10,USE_YN, IS_DEL_ABLE ) VALUES ('TMCL0104','TMCL01','오시는길','40','오시는길','','','','','','','','','','','Y','Y');</v>
      </c>
      <c r="T45" t="s">
        <v>734</v>
      </c>
    </row>
    <row r="46" spans="2:20" x14ac:dyDescent="0.4">
      <c r="B46" s="17" t="s">
        <v>652</v>
      </c>
      <c r="C46" s="17" t="s">
        <v>638</v>
      </c>
      <c r="D46" t="s">
        <v>656</v>
      </c>
      <c r="E46">
        <v>10</v>
      </c>
      <c r="F46" t="s">
        <v>656</v>
      </c>
      <c r="Q46" t="s">
        <v>144</v>
      </c>
      <c r="R46" t="s">
        <v>144</v>
      </c>
      <c r="S46" t="str">
        <f t="shared" si="0"/>
        <v>INSERT INTO STB_B_CD_MNG (COM_CD, UPP_COM_CD,CD_NM,  SORT_NO, CD_COMMENT,FILTER_1,FILTER_2,FILTER_3,FILTER_4,FILTER_5,FILTER_6,FILTER_7,FILTER_8,FILTER_9,FILTER_10,USE_YN, IS_DEL_ABLE ) VALUES ('TMCL0201','TMCL02','제목','10','제목','','','','','','','','','','','Y','Y');</v>
      </c>
      <c r="T46" t="s">
        <v>735</v>
      </c>
    </row>
    <row r="47" spans="2:20" x14ac:dyDescent="0.4">
      <c r="B47" s="17" t="s">
        <v>653</v>
      </c>
      <c r="C47" s="17" t="s">
        <v>638</v>
      </c>
      <c r="D47" t="s">
        <v>657</v>
      </c>
      <c r="E47">
        <v>20</v>
      </c>
      <c r="F47" t="s">
        <v>657</v>
      </c>
      <c r="Q47" t="s">
        <v>144</v>
      </c>
      <c r="R47" t="s">
        <v>144</v>
      </c>
      <c r="S47" t="str">
        <f t="shared" si="0"/>
        <v>INSERT INTO STB_B_CD_MNG (COM_CD, UPP_COM_CD,CD_NM,  SORT_NO, CD_COMMENT,FILTER_1,FILTER_2,FILTER_3,FILTER_4,FILTER_5,FILTER_6,FILTER_7,FILTER_8,FILTER_9,FILTER_10,USE_YN, IS_DEL_ABLE ) VALUES ('TMCL0202','TMCL02','주석','20','주석','','','','','','','','','','','Y','Y');</v>
      </c>
      <c r="T47" t="s">
        <v>736</v>
      </c>
    </row>
    <row r="48" spans="2:20" x14ac:dyDescent="0.4">
      <c r="B48" s="17" t="s">
        <v>654</v>
      </c>
      <c r="C48" s="17" t="s">
        <v>638</v>
      </c>
      <c r="D48" t="s">
        <v>658</v>
      </c>
      <c r="E48">
        <v>30</v>
      </c>
      <c r="F48" t="s">
        <v>658</v>
      </c>
      <c r="Q48" t="s">
        <v>144</v>
      </c>
      <c r="R48" t="s">
        <v>144</v>
      </c>
      <c r="S48" t="str">
        <f t="shared" si="0"/>
        <v>INSERT INTO STB_B_CD_MNG (COM_CD, UPP_COM_CD,CD_NM,  SORT_NO, CD_COMMENT,FILTER_1,FILTER_2,FILTER_3,FILTER_4,FILTER_5,FILTER_6,FILTER_7,FILTER_8,FILTER_9,FILTER_10,USE_YN, IS_DEL_ABLE ) VALUES ('TMCL0203','TMCL02','본문','30','본문','','','','','','','','','','','Y','Y');</v>
      </c>
      <c r="T48" t="s">
        <v>737</v>
      </c>
    </row>
    <row r="49" spans="2:20" x14ac:dyDescent="0.4">
      <c r="B49" s="17" t="s">
        <v>655</v>
      </c>
      <c r="C49" s="17" t="s">
        <v>638</v>
      </c>
      <c r="D49" t="s">
        <v>659</v>
      </c>
      <c r="E49">
        <v>40</v>
      </c>
      <c r="F49" t="s">
        <v>659</v>
      </c>
      <c r="Q49" t="s">
        <v>144</v>
      </c>
      <c r="R49" t="s">
        <v>144</v>
      </c>
      <c r="S49" t="str">
        <f t="shared" si="0"/>
        <v>INSERT INTO STB_B_CD_MNG (COM_CD, UPP_COM_CD,CD_NM,  SORT_NO, CD_COMMENT,FILTER_1,FILTER_2,FILTER_3,FILTER_4,FILTER_5,FILTER_6,FILTER_7,FILTER_8,FILTER_9,FILTER_10,USE_YN, IS_DEL_ABLE ) VALUES ('TMCL0204','TMCL02','테이블','40','테이블','','','','','','','','','','','Y','Y');</v>
      </c>
      <c r="T49" t="s">
        <v>738</v>
      </c>
    </row>
    <row r="50" spans="2:20" x14ac:dyDescent="0.4">
      <c r="B50" s="17" t="s">
        <v>660</v>
      </c>
      <c r="C50" t="s">
        <v>67</v>
      </c>
      <c r="D50" t="s">
        <v>661</v>
      </c>
      <c r="E50">
        <v>90</v>
      </c>
      <c r="F50" t="s">
        <v>661</v>
      </c>
      <c r="Q50" t="s">
        <v>144</v>
      </c>
      <c r="R50" t="s">
        <v>144</v>
      </c>
      <c r="S50" t="str">
        <f t="shared" si="0"/>
        <v>INSERT INTO STB_B_CD_MNG (COM_CD, UPP_COM_CD,CD_NM,  SORT_NO, CD_COMMENT,FILTER_1,FILTER_2,FILTER_3,FILTER_4,FILTER_5,FILTER_6,FILTER_7,FILTER_8,FILTER_9,FILTER_10,USE_YN, IS_DEL_ABLE ) VALUES ('LG','ROOT','로고항목','90','로고항목','','','','','','','','','','','Y','Y');</v>
      </c>
      <c r="T50" t="s">
        <v>739</v>
      </c>
    </row>
    <row r="51" spans="2:20" x14ac:dyDescent="0.4">
      <c r="B51" s="17" t="s">
        <v>662</v>
      </c>
      <c r="C51" t="s">
        <v>660</v>
      </c>
      <c r="D51" t="s">
        <v>665</v>
      </c>
      <c r="E51">
        <v>10</v>
      </c>
      <c r="F51" t="s">
        <v>665</v>
      </c>
      <c r="Q51" t="s">
        <v>144</v>
      </c>
      <c r="R51" t="s">
        <v>144</v>
      </c>
      <c r="S51" t="str">
        <f t="shared" si="0"/>
        <v>INSERT INTO STB_B_CD_MNG (COM_CD, UPP_COM_CD,CD_NM,  SORT_NO, CD_COMMENT,FILTER_1,FILTER_2,FILTER_3,FILTER_4,FILTER_5,FILTER_6,FILTER_7,FILTER_8,FILTER_9,FILTER_10,USE_YN, IS_DEL_ABLE ) VALUES ('LGFC','LG','파비콘','10','파비콘','','','','','','','','','','','Y','Y');</v>
      </c>
      <c r="T51" t="s">
        <v>740</v>
      </c>
    </row>
    <row r="52" spans="2:20" x14ac:dyDescent="0.4">
      <c r="B52" s="17" t="s">
        <v>663</v>
      </c>
      <c r="C52" t="s">
        <v>660</v>
      </c>
      <c r="D52" t="s">
        <v>666</v>
      </c>
      <c r="E52">
        <v>20</v>
      </c>
      <c r="F52" t="s">
        <v>666</v>
      </c>
      <c r="Q52" t="s">
        <v>144</v>
      </c>
      <c r="R52" t="s">
        <v>144</v>
      </c>
      <c r="S52" t="str">
        <f t="shared" si="0"/>
        <v>INSERT INTO STB_B_CD_MNG (COM_CD, UPP_COM_CD,CD_NM,  SORT_NO, CD_COMMENT,FILTER_1,FILTER_2,FILTER_3,FILTER_4,FILTER_5,FILTER_6,FILTER_7,FILTER_8,FILTER_9,FILTER_10,USE_YN, IS_DEL_ABLE ) VALUES ('LGHD','LG','헤더','20','헤더','','','','','','','','','','','Y','Y');</v>
      </c>
      <c r="T52" t="s">
        <v>741</v>
      </c>
    </row>
    <row r="53" spans="2:20" x14ac:dyDescent="0.4">
      <c r="B53" s="17" t="s">
        <v>664</v>
      </c>
      <c r="C53" t="s">
        <v>660</v>
      </c>
      <c r="D53" t="s">
        <v>667</v>
      </c>
      <c r="E53">
        <v>30</v>
      </c>
      <c r="F53" t="s">
        <v>667</v>
      </c>
      <c r="Q53" t="s">
        <v>144</v>
      </c>
      <c r="R53" t="s">
        <v>144</v>
      </c>
      <c r="S53" t="str">
        <f t="shared" si="0"/>
        <v>INSERT INTO STB_B_CD_MNG (COM_CD, UPP_COM_CD,CD_NM,  SORT_NO, CD_COMMENT,FILTER_1,FILTER_2,FILTER_3,FILTER_4,FILTER_5,FILTER_6,FILTER_7,FILTER_8,FILTER_9,FILTER_10,USE_YN, IS_DEL_ABLE ) VALUES ('LGLN','LG','로그인','30','로그인','','','','','','','','','','','Y','Y');</v>
      </c>
      <c r="T53" t="s">
        <v>742</v>
      </c>
    </row>
    <row r="54" spans="2:20" x14ac:dyDescent="0.4">
      <c r="B54" s="17" t="s">
        <v>668</v>
      </c>
      <c r="C54" t="s">
        <v>67</v>
      </c>
      <c r="D54" t="s">
        <v>669</v>
      </c>
      <c r="E54">
        <v>100</v>
      </c>
      <c r="F54" t="s">
        <v>669</v>
      </c>
      <c r="Q54" t="s">
        <v>144</v>
      </c>
      <c r="R54" t="s">
        <v>144</v>
      </c>
      <c r="S54" t="str">
        <f t="shared" si="0"/>
        <v>INSERT INTO STB_B_CD_MNG (COM_CD, UPP_COM_CD,CD_NM,  SORT_NO, CD_COMMENT,FILTER_1,FILTER_2,FILTER_3,FILTER_4,FILTER_5,FILTER_6,FILTER_7,FILTER_8,FILTER_9,FILTER_10,USE_YN, IS_DEL_ABLE ) VALUES ('MN','ROOT','매뉴얼관리','100','매뉴얼관리','','','','','','','','','','','Y','Y');</v>
      </c>
      <c r="T54" t="s">
        <v>743</v>
      </c>
    </row>
    <row r="55" spans="2:20" x14ac:dyDescent="0.4">
      <c r="B55" s="17" t="s">
        <v>670</v>
      </c>
      <c r="C55" t="s">
        <v>668</v>
      </c>
      <c r="D55" t="s">
        <v>671</v>
      </c>
      <c r="E55">
        <v>10</v>
      </c>
      <c r="F55" t="s">
        <v>671</v>
      </c>
      <c r="Q55" t="s">
        <v>144</v>
      </c>
      <c r="R55" t="s">
        <v>144</v>
      </c>
      <c r="S55" t="str">
        <f t="shared" si="0"/>
        <v>INSERT INTO STB_B_CD_MNG (COM_CD, UPP_COM_CD,CD_NM,  SORT_NO, CD_COMMENT,FILTER_1,FILTER_2,FILTER_3,FILTER_4,FILTER_5,FILTER_6,FILTER_7,FILTER_8,FILTER_9,FILTER_10,USE_YN, IS_DEL_ABLE ) VALUES ('MNTP','MN','유형구분','10','유형구분','','','','','','','','','','','Y','Y');</v>
      </c>
      <c r="T55" t="s">
        <v>744</v>
      </c>
    </row>
    <row r="56" spans="2:20" x14ac:dyDescent="0.4">
      <c r="B56" s="17" t="s">
        <v>672</v>
      </c>
      <c r="C56" s="17" t="s">
        <v>670</v>
      </c>
      <c r="D56" t="s">
        <v>673</v>
      </c>
      <c r="E56">
        <v>10</v>
      </c>
      <c r="F56" t="s">
        <v>673</v>
      </c>
      <c r="Q56" t="s">
        <v>144</v>
      </c>
      <c r="R56" t="s">
        <v>144</v>
      </c>
      <c r="S56" t="str">
        <f t="shared" si="0"/>
        <v>INSERT INTO STB_B_CD_MNG (COM_CD, UPP_COM_CD,CD_NM,  SORT_NO, CD_COMMENT,FILTER_1,FILTER_2,FILTER_3,FILTER_4,FILTER_5,FILTER_6,FILTER_7,FILTER_8,FILTER_9,FILTER_10,USE_YN, IS_DEL_ABLE ) VALUES ('MNTP01','MNTP','제목','10','제목','','','','','','','','','','','Y','Y');</v>
      </c>
      <c r="T56" t="s">
        <v>745</v>
      </c>
    </row>
    <row r="57" spans="2:20" x14ac:dyDescent="0.4">
      <c r="B57" s="17" t="s">
        <v>674</v>
      </c>
      <c r="C57" t="s">
        <v>67</v>
      </c>
      <c r="D57" t="s">
        <v>675</v>
      </c>
      <c r="E57">
        <v>110</v>
      </c>
      <c r="F57" t="s">
        <v>675</v>
      </c>
      <c r="Q57" t="s">
        <v>144</v>
      </c>
      <c r="R57" t="s">
        <v>144</v>
      </c>
      <c r="S57" t="str">
        <f t="shared" si="0"/>
        <v>INSERT INTO STB_B_CD_MNG (COM_CD, UPP_COM_CD,CD_NM,  SORT_NO, CD_COMMENT,FILTER_1,FILTER_2,FILTER_3,FILTER_4,FILTER_5,FILTER_6,FILTER_7,FILTER_8,FILTER_9,FILTER_10,USE_YN, IS_DEL_ABLE ) VALUES ('SE','ROOT','SEO','110','SEO','','','','','','','','','','','Y','Y');</v>
      </c>
      <c r="T57" t="s">
        <v>746</v>
      </c>
    </row>
    <row r="58" spans="2:20" x14ac:dyDescent="0.4">
      <c r="B58" s="17" t="s">
        <v>676</v>
      </c>
      <c r="C58" t="s">
        <v>67</v>
      </c>
      <c r="D58" t="s">
        <v>96</v>
      </c>
      <c r="E58">
        <v>120</v>
      </c>
      <c r="F58" t="s">
        <v>96</v>
      </c>
      <c r="Q58" t="s">
        <v>144</v>
      </c>
      <c r="R58" t="s">
        <v>144</v>
      </c>
      <c r="S58" t="str">
        <f t="shared" si="0"/>
        <v>INSERT INTO STB_B_CD_MNG (COM_CD, UPP_COM_CD,CD_NM,  SORT_NO, CD_COMMENT,FILTER_1,FILTER_2,FILTER_3,FILTER_4,FILTER_5,FILTER_6,FILTER_7,FILTER_8,FILTER_9,FILTER_10,USE_YN, IS_DEL_ABLE ) VALUES ('SC','ROOT','일정관리','120','일정관리','','','','','','','','','','','Y','Y');</v>
      </c>
      <c r="T58" t="s">
        <v>747</v>
      </c>
    </row>
    <row r="59" spans="2:20" x14ac:dyDescent="0.4">
      <c r="B59" s="17" t="s">
        <v>677</v>
      </c>
      <c r="C59" t="s">
        <v>676</v>
      </c>
      <c r="D59" t="s">
        <v>679</v>
      </c>
      <c r="E59">
        <v>10</v>
      </c>
      <c r="F59" t="s">
        <v>679</v>
      </c>
      <c r="Q59" t="s">
        <v>144</v>
      </c>
      <c r="R59" t="s">
        <v>144</v>
      </c>
      <c r="S59" t="str">
        <f t="shared" si="0"/>
        <v>INSERT INTO STB_B_CD_MNG (COM_CD, UPP_COM_CD,CD_NM,  SORT_NO, CD_COMMENT,FILTER_1,FILTER_2,FILTER_3,FILTER_4,FILTER_5,FILTER_6,FILTER_7,FILTER_8,FILTER_9,FILTER_10,USE_YN, IS_DEL_ABLE ) VALUES ('SCCL','SC','일정구분코드','10','일정구분코드','','','','','','','','','','','Y','Y');</v>
      </c>
      <c r="T59" t="s">
        <v>748</v>
      </c>
    </row>
    <row r="60" spans="2:20" x14ac:dyDescent="0.4">
      <c r="B60" s="17" t="s">
        <v>678</v>
      </c>
      <c r="C60" t="s">
        <v>676</v>
      </c>
      <c r="D60" t="s">
        <v>680</v>
      </c>
      <c r="E60">
        <v>20</v>
      </c>
      <c r="F60" t="s">
        <v>680</v>
      </c>
      <c r="Q60" t="s">
        <v>144</v>
      </c>
      <c r="R60" t="s">
        <v>144</v>
      </c>
      <c r="S60" t="str">
        <f t="shared" si="0"/>
        <v>INSERT INTO STB_B_CD_MNG (COM_CD, UPP_COM_CD,CD_NM,  SORT_NO, CD_COMMENT,FILTER_1,FILTER_2,FILTER_3,FILTER_4,FILTER_5,FILTER_6,FILTER_7,FILTER_8,FILTER_9,FILTER_10,USE_YN, IS_DEL_ABLE ) VALUES ('SCTM','SC','일정시간코드','20','일정시간코드','','','','','','','','','','','Y','Y');</v>
      </c>
      <c r="T60" t="s">
        <v>749</v>
      </c>
    </row>
    <row r="61" spans="2:20" x14ac:dyDescent="0.4">
      <c r="B61" s="17" t="s">
        <v>681</v>
      </c>
      <c r="C61" t="s">
        <v>677</v>
      </c>
      <c r="D61" t="s">
        <v>685</v>
      </c>
      <c r="E61">
        <v>10</v>
      </c>
      <c r="F61" t="s">
        <v>685</v>
      </c>
      <c r="G61" t="s">
        <v>689</v>
      </c>
      <c r="Q61" t="s">
        <v>144</v>
      </c>
      <c r="R61" t="s">
        <v>144</v>
      </c>
      <c r="S61" t="str">
        <f t="shared" si="0"/>
        <v>INSERT INTO STB_B_CD_MNG (COM_CD, UPP_COM_CD,CD_NM,  SORT_NO, CD_COMMENT,FILTER_1,FILTER_2,FILTER_3,FILTER_4,FILTER_5,FILTER_6,FILTER_7,FILTER_8,FILTER_9,FILTER_10,USE_YN, IS_DEL_ABLE ) VALUES ('SCCL01','SCCL','개인업무','10','개인업무','personal_work','','','','','','','','','','Y','Y');</v>
      </c>
      <c r="T61" t="s">
        <v>750</v>
      </c>
    </row>
    <row r="62" spans="2:20" x14ac:dyDescent="0.4">
      <c r="B62" s="17" t="s">
        <v>682</v>
      </c>
      <c r="C62" t="s">
        <v>677</v>
      </c>
      <c r="D62" t="s">
        <v>686</v>
      </c>
      <c r="E62">
        <v>20</v>
      </c>
      <c r="F62" t="s">
        <v>686</v>
      </c>
      <c r="G62" t="s">
        <v>690</v>
      </c>
      <c r="Q62" t="s">
        <v>144</v>
      </c>
      <c r="R62" t="s">
        <v>144</v>
      </c>
      <c r="S62" t="str">
        <f t="shared" si="0"/>
        <v>INSERT INTO STB_B_CD_MNG (COM_CD, UPP_COM_CD,CD_NM,  SORT_NO, CD_COMMENT,FILTER_1,FILTER_2,FILTER_3,FILTER_4,FILTER_5,FILTER_6,FILTER_7,FILTER_8,FILTER_9,FILTER_10,USE_YN, IS_DEL_ABLE ) VALUES ('SCCL02','SCCL','부서업무','20','부서업무','department_work','','','','','','','','','','Y','Y');</v>
      </c>
      <c r="T62" t="s">
        <v>751</v>
      </c>
    </row>
    <row r="63" spans="2:20" x14ac:dyDescent="0.4">
      <c r="B63" s="17" t="s">
        <v>683</v>
      </c>
      <c r="C63" t="s">
        <v>677</v>
      </c>
      <c r="D63" t="s">
        <v>687</v>
      </c>
      <c r="E63">
        <v>30</v>
      </c>
      <c r="F63" t="s">
        <v>687</v>
      </c>
      <c r="G63" t="s">
        <v>691</v>
      </c>
      <c r="Q63" t="s">
        <v>144</v>
      </c>
      <c r="R63" t="s">
        <v>144</v>
      </c>
      <c r="S63" t="str">
        <f t="shared" si="0"/>
        <v>INSERT INTO STB_B_CD_MNG (COM_CD, UPP_COM_CD,CD_NM,  SORT_NO, CD_COMMENT,FILTER_1,FILTER_2,FILTER_3,FILTER_4,FILTER_5,FILTER_6,FILTER_7,FILTER_8,FILTER_9,FILTER_10,USE_YN, IS_DEL_ABLE ) VALUES ('SCCL03','SCCL','회의','30','회의','meeting','','','','','','','','','','Y','Y');</v>
      </c>
      <c r="T63" t="s">
        <v>752</v>
      </c>
    </row>
    <row r="64" spans="2:20" x14ac:dyDescent="0.4">
      <c r="B64" s="17" t="s">
        <v>684</v>
      </c>
      <c r="C64" t="s">
        <v>677</v>
      </c>
      <c r="D64" t="s">
        <v>688</v>
      </c>
      <c r="E64">
        <v>40</v>
      </c>
      <c r="F64" t="s">
        <v>688</v>
      </c>
      <c r="G64" t="s">
        <v>692</v>
      </c>
      <c r="Q64" t="s">
        <v>144</v>
      </c>
      <c r="R64" t="s">
        <v>144</v>
      </c>
      <c r="S64" t="str">
        <f t="shared" si="0"/>
        <v>INSERT INTO STB_B_CD_MNG (COM_CD, UPP_COM_CD,CD_NM,  SORT_NO, CD_COMMENT,FILTER_1,FILTER_2,FILTER_3,FILTER_4,FILTER_5,FILTER_6,FILTER_7,FILTER_8,FILTER_9,FILTER_10,USE_YN, IS_DEL_ABLE ) VALUES ('SCCL04','SCCL','경영진일정','40','경영진일정','director_work','','','','','','','','','','Y','Y');</v>
      </c>
      <c r="T64" t="s">
        <v>753</v>
      </c>
    </row>
    <row r="65" spans="2:20" x14ac:dyDescent="0.4">
      <c r="B65" s="17" t="s">
        <v>699</v>
      </c>
      <c r="C65" t="s">
        <v>677</v>
      </c>
      <c r="D65" t="s">
        <v>700</v>
      </c>
      <c r="E65">
        <v>50</v>
      </c>
      <c r="F65" t="s">
        <v>700</v>
      </c>
      <c r="G65" t="s">
        <v>701</v>
      </c>
      <c r="Q65" t="s">
        <v>144</v>
      </c>
      <c r="R65" t="s">
        <v>144</v>
      </c>
      <c r="S65" t="str">
        <f t="shared" si="0"/>
        <v>INSERT INTO STB_B_CD_MNG (COM_CD, UPP_COM_CD,CD_NM,  SORT_NO, CD_COMMENT,FILTER_1,FILTER_2,FILTER_3,FILTER_4,FILTER_5,FILTER_6,FILTER_7,FILTER_8,FILTER_9,FILTER_10,USE_YN, IS_DEL_ABLE ) VALUES ('SCCL05','SCCL','회사업무','50','회사업무','company_work','','','','','','','','','','Y','Y');</v>
      </c>
      <c r="T65" t="s">
        <v>754</v>
      </c>
    </row>
    <row r="66" spans="2:20" x14ac:dyDescent="0.4">
      <c r="B66" s="17" t="s">
        <v>693</v>
      </c>
      <c r="C66" t="s">
        <v>67</v>
      </c>
      <c r="D66" t="s">
        <v>694</v>
      </c>
      <c r="E66">
        <v>130</v>
      </c>
      <c r="F66" t="s">
        <v>694</v>
      </c>
      <c r="Q66" t="s">
        <v>144</v>
      </c>
      <c r="R66" t="s">
        <v>144</v>
      </c>
      <c r="S66" t="str">
        <f t="shared" si="0"/>
        <v>INSERT INTO STB_B_CD_MNG (COM_CD, UPP_COM_CD,CD_NM,  SORT_NO, CD_COMMENT,FILTER_1,FILTER_2,FILTER_3,FILTER_4,FILTER_5,FILTER_6,FILTER_7,FILTER_8,FILTER_9,FILTER_10,USE_YN, IS_DEL_ABLE ) VALUES ('AU','ROOT','권한영역','130','권한영역','','','','','','','','','','','Y','Y');</v>
      </c>
      <c r="T66" t="s">
        <v>755</v>
      </c>
    </row>
    <row r="67" spans="2:20" x14ac:dyDescent="0.4">
      <c r="B67" s="17" t="s">
        <v>695</v>
      </c>
      <c r="C67" t="s">
        <v>693</v>
      </c>
      <c r="D67" t="s">
        <v>697</v>
      </c>
      <c r="E67">
        <v>10</v>
      </c>
      <c r="F67" t="s">
        <v>697</v>
      </c>
      <c r="Q67" t="s">
        <v>144</v>
      </c>
      <c r="R67" t="s">
        <v>144</v>
      </c>
      <c r="S67" t="str">
        <f t="shared" si="0"/>
        <v>INSERT INTO STB_B_CD_MNG (COM_CD, UPP_COM_CD,CD_NM,  SORT_NO, CD_COMMENT,FILTER_1,FILTER_2,FILTER_3,FILTER_4,FILTER_5,FILTER_6,FILTER_7,FILTER_8,FILTER_9,FILTER_10,USE_YN, IS_DEL_ABLE ) VALUES ('AUMA','AU','관리자','10','관리자','','','','','','','','','','','Y','Y');</v>
      </c>
      <c r="T67" t="s">
        <v>756</v>
      </c>
    </row>
    <row r="68" spans="2:20" x14ac:dyDescent="0.4">
      <c r="B68" s="17" t="s">
        <v>696</v>
      </c>
      <c r="C68" t="s">
        <v>693</v>
      </c>
      <c r="D68" t="s">
        <v>698</v>
      </c>
      <c r="E68">
        <v>20</v>
      </c>
      <c r="F68" t="s">
        <v>698</v>
      </c>
      <c r="Q68" t="s">
        <v>144</v>
      </c>
      <c r="R68" t="s">
        <v>144</v>
      </c>
      <c r="S68" t="str">
        <f t="shared" si="0"/>
        <v>INSERT INTO STB_B_CD_MNG (COM_CD, UPP_COM_CD,CD_NM,  SORT_NO, CD_COMMENT,FILTER_1,FILTER_2,FILTER_3,FILTER_4,FILTER_5,FILTER_6,FILTER_7,FILTER_8,FILTER_9,FILTER_10,USE_YN, IS_DEL_ABLE ) VALUES ('AUFT','AU','사용자','20','사용자','','','','','','','','','','','Y','Y');</v>
      </c>
      <c r="T68" t="s">
        <v>757</v>
      </c>
    </row>
    <row r="69" spans="2:20" x14ac:dyDescent="0.4">
      <c r="B69" s="17" t="s">
        <v>702</v>
      </c>
      <c r="C69" t="s">
        <v>67</v>
      </c>
      <c r="D69" t="s">
        <v>703</v>
      </c>
      <c r="E69">
        <v>140</v>
      </c>
      <c r="F69" t="s">
        <v>703</v>
      </c>
      <c r="Q69" t="s">
        <v>144</v>
      </c>
      <c r="R69" t="s">
        <v>144</v>
      </c>
      <c r="S69" t="str">
        <f t="shared" ref="S69:S78" si="1">"INSERT INTO STB_B_CD_MNG (COM_CD, UPP_COM_CD,CD_NM,  SORT_NO, CD_COMMENT,FILTER_1,FILTER_2,FILTER_3,FILTER_4,FILTER_5,FILTER_6,FILTER_7,FILTER_8,FILTER_9,FILTER_10,USE_YN, IS_DEL_ABLE ) VALUES ('"&amp;B69&amp;"','"&amp;C69&amp;"','"&amp;D69&amp;"','"&amp;E69&amp;"','"&amp;F69&amp;"','"&amp;G69&amp;"','"&amp;H69&amp;"','"&amp;I69&amp;"','"&amp;J69&amp;"','"&amp;K69&amp;"','"&amp;L69&amp;"','"&amp;M69&amp;"','"&amp;N69&amp;"','"&amp;O69&amp;"','"&amp;P69&amp;"','"&amp;Q69&amp;"','"&amp;R69&amp;"');"</f>
        <v>INSERT INTO STB_B_CD_MNG (COM_CD, UPP_COM_CD,CD_NM,  SORT_NO, CD_COMMENT,FILTER_1,FILTER_2,FILTER_3,FILTER_4,FILTER_5,FILTER_6,FILTER_7,FILTER_8,FILTER_9,FILTER_10,USE_YN, IS_DEL_ABLE ) VALUES ('ST','ROOT','표준미준수','140','표준미준수','','','','','','','','','','','Y','Y');</v>
      </c>
      <c r="T69" t="s">
        <v>758</v>
      </c>
    </row>
    <row r="70" spans="2:20" x14ac:dyDescent="0.4">
      <c r="B70" s="17" t="s">
        <v>704</v>
      </c>
      <c r="C70" s="17" t="s">
        <v>702</v>
      </c>
      <c r="D70" t="s">
        <v>707</v>
      </c>
      <c r="E70">
        <v>10</v>
      </c>
      <c r="F70" t="s">
        <v>707</v>
      </c>
      <c r="Q70" t="s">
        <v>144</v>
      </c>
      <c r="R70" t="s">
        <v>144</v>
      </c>
      <c r="S70" t="str">
        <f t="shared" si="1"/>
        <v>INSERT INTO STB_B_CD_MNG (COM_CD, UPP_COM_CD,CD_NM,  SORT_NO, CD_COMMENT,FILTER_1,FILTER_2,FILTER_3,FILTER_4,FILTER_5,FILTER_6,FILTER_7,FILTER_8,FILTER_9,FILTER_10,USE_YN, IS_DEL_ABLE ) VALUES ('ST01','ST','미등록데이터','10','미등록데이터','','','','','','','','','','','Y','Y');</v>
      </c>
      <c r="T70" t="s">
        <v>759</v>
      </c>
    </row>
    <row r="71" spans="2:20" x14ac:dyDescent="0.4">
      <c r="B71" s="17" t="s">
        <v>705</v>
      </c>
      <c r="C71" s="17" t="s">
        <v>702</v>
      </c>
      <c r="D71" t="s">
        <v>708</v>
      </c>
      <c r="E71">
        <v>20</v>
      </c>
      <c r="F71" t="s">
        <v>708</v>
      </c>
      <c r="Q71" t="s">
        <v>144</v>
      </c>
      <c r="R71" t="s">
        <v>144</v>
      </c>
      <c r="S71" t="str">
        <f t="shared" si="1"/>
        <v>INSERT INTO STB_B_CD_MNG (COM_CD, UPP_COM_CD,CD_NM,  SORT_NO, CD_COMMENT,FILTER_1,FILTER_2,FILTER_3,FILTER_4,FILTER_5,FILTER_6,FILTER_7,FILTER_8,FILTER_9,FILTER_10,USE_YN, IS_DEL_ABLE ) VALUES ('ST02','ST','컬럼한글명불일치','20','컬럼한글명불일치','','','','','','','','','','','Y','Y');</v>
      </c>
      <c r="T71" t="s">
        <v>760</v>
      </c>
    </row>
    <row r="72" spans="2:20" x14ac:dyDescent="0.4">
      <c r="B72" s="17" t="s">
        <v>706</v>
      </c>
      <c r="C72" s="17" t="s">
        <v>702</v>
      </c>
      <c r="D72" t="s">
        <v>709</v>
      </c>
      <c r="E72">
        <v>30</v>
      </c>
      <c r="F72" t="s">
        <v>709</v>
      </c>
      <c r="Q72" t="s">
        <v>144</v>
      </c>
      <c r="R72" t="s">
        <v>144</v>
      </c>
      <c r="S72" t="str">
        <f t="shared" si="1"/>
        <v>INSERT INTO STB_B_CD_MNG (COM_CD, UPP_COM_CD,CD_NM,  SORT_NO, CD_COMMENT,FILTER_1,FILTER_2,FILTER_3,FILTER_4,FILTER_5,FILTER_6,FILTER_7,FILTER_8,FILTER_9,FILTER_10,USE_YN, IS_DEL_ABLE ) VALUES ('ST03','ST','기타','30','기타','','','','','','','','','','','Y','Y');</v>
      </c>
      <c r="T72" t="s">
        <v>761</v>
      </c>
    </row>
    <row r="73" spans="2:20" x14ac:dyDescent="0.4">
      <c r="B73" s="17" t="s">
        <v>710</v>
      </c>
      <c r="C73" t="s">
        <v>67</v>
      </c>
      <c r="D73" t="s">
        <v>711</v>
      </c>
      <c r="E73">
        <v>150</v>
      </c>
      <c r="F73" t="s">
        <v>711</v>
      </c>
      <c r="Q73" t="s">
        <v>144</v>
      </c>
      <c r="R73" t="s">
        <v>144</v>
      </c>
      <c r="S73" t="str">
        <f t="shared" si="1"/>
        <v>INSERT INTO STB_B_CD_MNG (COM_CD, UPP_COM_CD,CD_NM,  SORT_NO, CD_COMMENT,FILTER_1,FILTER_2,FILTER_3,FILTER_4,FILTER_5,FILTER_6,FILTER_7,FILTER_8,FILTER_9,FILTER_10,USE_YN, IS_DEL_ABLE ) VALUES ('PU','ROOT','팝업관리','150','팝업관리','','','','','','','','','','','Y','Y');</v>
      </c>
      <c r="T73" t="s">
        <v>762</v>
      </c>
    </row>
    <row r="74" spans="2:20" x14ac:dyDescent="0.4">
      <c r="B74" s="17" t="s">
        <v>712</v>
      </c>
      <c r="C74" s="17" t="s">
        <v>710</v>
      </c>
      <c r="D74" t="s">
        <v>714</v>
      </c>
      <c r="E74">
        <v>10</v>
      </c>
      <c r="F74" t="s">
        <v>714</v>
      </c>
      <c r="Q74" t="s">
        <v>144</v>
      </c>
      <c r="R74" t="s">
        <v>144</v>
      </c>
      <c r="S74" t="str">
        <f t="shared" si="1"/>
        <v>INSERT INTO STB_B_CD_MNG (COM_CD, UPP_COM_CD,CD_NM,  SORT_NO, CD_COMMENT,FILTER_1,FILTER_2,FILTER_3,FILTER_4,FILTER_5,FILTER_6,FILTER_7,FILTER_8,FILTER_9,FILTER_10,USE_YN, IS_DEL_ABLE ) VALUES ('PUTG','PU','팝업대상코드','10','팝업대상코드','','','','','','','','','','','Y','Y');</v>
      </c>
      <c r="T74" t="s">
        <v>763</v>
      </c>
    </row>
    <row r="75" spans="2:20" x14ac:dyDescent="0.4">
      <c r="B75" s="17" t="s">
        <v>713</v>
      </c>
      <c r="C75" s="17" t="s">
        <v>710</v>
      </c>
      <c r="D75" t="s">
        <v>715</v>
      </c>
      <c r="E75">
        <v>20</v>
      </c>
      <c r="F75" t="s">
        <v>715</v>
      </c>
      <c r="Q75" t="s">
        <v>144</v>
      </c>
      <c r="R75" t="s">
        <v>144</v>
      </c>
      <c r="S75" t="str">
        <f t="shared" si="1"/>
        <v>INSERT INTO STB_B_CD_MNG (COM_CD, UPP_COM_CD,CD_NM,  SORT_NO, CD_COMMENT,FILTER_1,FILTER_2,FILTER_3,FILTER_4,FILTER_5,FILTER_6,FILTER_7,FILTER_8,FILTER_9,FILTER_10,USE_YN, IS_DEL_ABLE ) VALUES ('PUCL','PU','팝업구분코드','20','팝업구분코드','','','','','','','','','','','Y','Y');</v>
      </c>
      <c r="T75" t="s">
        <v>764</v>
      </c>
    </row>
    <row r="76" spans="2:20" x14ac:dyDescent="0.4">
      <c r="B76" s="17" t="s">
        <v>716</v>
      </c>
      <c r="C76" t="s">
        <v>712</v>
      </c>
      <c r="D76" t="s">
        <v>719</v>
      </c>
      <c r="E76">
        <v>10</v>
      </c>
      <c r="F76" t="s">
        <v>719</v>
      </c>
      <c r="Q76" t="s">
        <v>144</v>
      </c>
      <c r="R76" t="s">
        <v>144</v>
      </c>
      <c r="S76" t="str">
        <f t="shared" si="1"/>
        <v>INSERT INTO STB_B_CD_MNG (COM_CD, UPP_COM_CD,CD_NM,  SORT_NO, CD_COMMENT,FILTER_1,FILTER_2,FILTER_3,FILTER_4,FILTER_5,FILTER_6,FILTER_7,FILTER_8,FILTER_9,FILTER_10,USE_YN, IS_DEL_ABLE ) VALUES ('PUTG01','PUTG','새탭','10','새탭','','','','','','','','','','','Y','Y');</v>
      </c>
      <c r="T76" t="s">
        <v>765</v>
      </c>
    </row>
    <row r="77" spans="2:20" x14ac:dyDescent="0.4">
      <c r="B77" s="17" t="s">
        <v>717</v>
      </c>
      <c r="C77" t="s">
        <v>712</v>
      </c>
      <c r="D77" t="s">
        <v>720</v>
      </c>
      <c r="E77">
        <v>20</v>
      </c>
      <c r="F77" t="s">
        <v>720</v>
      </c>
      <c r="Q77" t="s">
        <v>144</v>
      </c>
      <c r="R77" t="s">
        <v>144</v>
      </c>
      <c r="S77" t="str">
        <f t="shared" si="1"/>
        <v>INSERT INTO STB_B_CD_MNG (COM_CD, UPP_COM_CD,CD_NM,  SORT_NO, CD_COMMENT,FILTER_1,FILTER_2,FILTER_3,FILTER_4,FILTER_5,FILTER_6,FILTER_7,FILTER_8,FILTER_9,FILTER_10,USE_YN, IS_DEL_ABLE ) VALUES ('PUTG02','PUTG','새창','20','새창','','','','','','','','','','','Y','Y');</v>
      </c>
      <c r="T77" t="s">
        <v>766</v>
      </c>
    </row>
    <row r="78" spans="2:20" x14ac:dyDescent="0.4">
      <c r="B78" s="17" t="s">
        <v>718</v>
      </c>
      <c r="C78" t="s">
        <v>712</v>
      </c>
      <c r="D78" t="s">
        <v>721</v>
      </c>
      <c r="E78">
        <v>30</v>
      </c>
      <c r="F78" t="s">
        <v>721</v>
      </c>
      <c r="Q78" t="s">
        <v>144</v>
      </c>
      <c r="R78" t="s">
        <v>144</v>
      </c>
      <c r="S78" t="str">
        <f t="shared" si="1"/>
        <v>INSERT INTO STB_B_CD_MNG (COM_CD, UPP_COM_CD,CD_NM,  SORT_NO, CD_COMMENT,FILTER_1,FILTER_2,FILTER_3,FILTER_4,FILTER_5,FILTER_6,FILTER_7,FILTER_8,FILTER_9,FILTER_10,USE_YN, IS_DEL_ABLE ) VALUES ('PUTG03','PUTG','모달창','30','모달창','','','','','','','','','','','Y','Y');</v>
      </c>
      <c r="T78" t="s">
        <v>767</v>
      </c>
    </row>
  </sheetData>
  <mergeCells count="2">
    <mergeCell ref="S1:S3"/>
    <mergeCell ref="T1:T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8DFD-C852-447E-993F-85631D7791EE}">
  <dimension ref="A1:K3"/>
  <sheetViews>
    <sheetView workbookViewId="0">
      <selection activeCell="F10" sqref="F10"/>
    </sheetView>
  </sheetViews>
  <sheetFormatPr defaultRowHeight="17.399999999999999" x14ac:dyDescent="0.4"/>
  <cols>
    <col min="1" max="1" width="18.8984375" customWidth="1"/>
    <col min="10" max="10" width="12.3984375" customWidth="1"/>
  </cols>
  <sheetData>
    <row r="1" spans="1:11" x14ac:dyDescent="0.4">
      <c r="A1" s="3" t="s">
        <v>43</v>
      </c>
      <c r="B1" s="16" t="s">
        <v>191</v>
      </c>
      <c r="C1" s="16" t="s">
        <v>191</v>
      </c>
      <c r="D1" s="16" t="s">
        <v>268</v>
      </c>
      <c r="E1" s="16" t="s">
        <v>192</v>
      </c>
      <c r="F1" s="16" t="s">
        <v>193</v>
      </c>
      <c r="G1" s="16" t="s">
        <v>193</v>
      </c>
      <c r="H1" s="16" t="s">
        <v>290</v>
      </c>
      <c r="I1" s="16" t="s">
        <v>290</v>
      </c>
      <c r="J1" s="16" t="s">
        <v>290</v>
      </c>
      <c r="K1" s="16" t="s">
        <v>290</v>
      </c>
    </row>
    <row r="2" spans="1:11" x14ac:dyDescent="0.4">
      <c r="A2" s="1" t="s">
        <v>5</v>
      </c>
      <c r="B2" s="1" t="s">
        <v>284</v>
      </c>
      <c r="C2" s="5" t="s">
        <v>313</v>
      </c>
      <c r="D2" s="5" t="s">
        <v>315</v>
      </c>
      <c r="E2" s="19" t="s">
        <v>317</v>
      </c>
      <c r="F2" s="19" t="s">
        <v>319</v>
      </c>
      <c r="G2" s="19" t="s">
        <v>321</v>
      </c>
      <c r="H2" s="19" t="s">
        <v>323</v>
      </c>
      <c r="I2" s="19" t="s">
        <v>325</v>
      </c>
      <c r="J2" s="19" t="s">
        <v>326</v>
      </c>
      <c r="K2" s="19" t="s">
        <v>329</v>
      </c>
    </row>
    <row r="3" spans="1:11" x14ac:dyDescent="0.4">
      <c r="A3" s="2" t="s">
        <v>6</v>
      </c>
      <c r="B3" s="24" t="s">
        <v>311</v>
      </c>
      <c r="C3" s="9" t="s">
        <v>312</v>
      </c>
      <c r="D3" s="9" t="s">
        <v>314</v>
      </c>
      <c r="E3" s="20" t="s">
        <v>316</v>
      </c>
      <c r="F3" s="20" t="s">
        <v>318</v>
      </c>
      <c r="G3" s="20" t="s">
        <v>320</v>
      </c>
      <c r="H3" s="20" t="s">
        <v>322</v>
      </c>
      <c r="I3" s="20" t="s">
        <v>324</v>
      </c>
      <c r="J3" s="20" t="s">
        <v>327</v>
      </c>
      <c r="K3" s="20" t="s">
        <v>328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메뉴관리</vt:lpstr>
      <vt:lpstr>메뉴_권한매핑</vt:lpstr>
      <vt:lpstr>권한</vt:lpstr>
      <vt:lpstr>권한_사용자매핑</vt:lpstr>
      <vt:lpstr>사용자</vt:lpstr>
      <vt:lpstr>공통코드</vt:lpstr>
      <vt:lpstr>시스템 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jinnam kim</dc:creator>
  <cp:lastModifiedBy>jinnam kim</cp:lastModifiedBy>
  <dcterms:created xsi:type="dcterms:W3CDTF">2026-01-02T11:08:41Z</dcterms:created>
  <dcterms:modified xsi:type="dcterms:W3CDTF">2026-03-15T00:00:13Z</dcterms:modified>
</cp:coreProperties>
</file>